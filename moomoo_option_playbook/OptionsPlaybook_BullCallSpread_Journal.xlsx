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D8F6E19-944D-4C66-AEB7-C4D053327630}" xr6:coauthVersionLast="47" xr6:coauthVersionMax="47" xr10:uidLastSave="{00000000-0000-0000-0000-000000000000}"/>
  <bookViews>
    <workbookView xWindow="-108" yWindow="-108" windowWidth="23256" windowHeight="12456" tabRatio="500" xr2:uid="{00000000-000D-0000-FFFF-FFFF00000000}"/>
  </bookViews>
  <sheets>
    <sheet name="🏠 Start Here" sheetId="1" r:id="rId1"/>
    <sheet name="📓 Trade Journal" sheetId="2" r:id="rId2"/>
    <sheet name="📊 Performance" sheetId="3" r:id="rId3"/>
    <sheet name="📚 PRICE Cheatshee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3" l="1"/>
  <c r="Z52" i="2"/>
  <c r="AA52" i="2" s="1"/>
  <c r="V52" i="2"/>
  <c r="U52" i="2"/>
  <c r="S52" i="2"/>
  <c r="M52" i="2"/>
  <c r="T52" i="2" s="1"/>
  <c r="W52" i="2" s="1"/>
  <c r="K52" i="2"/>
  <c r="Z51" i="2"/>
  <c r="AA51" i="2" s="1"/>
  <c r="V51" i="2"/>
  <c r="U51" i="2"/>
  <c r="T51" i="2"/>
  <c r="S51" i="2"/>
  <c r="K51" i="2"/>
  <c r="M51" i="2" s="1"/>
  <c r="S50" i="2"/>
  <c r="K50" i="2"/>
  <c r="Z50" i="2" s="1"/>
  <c r="AA50" i="2" s="1"/>
  <c r="Z49" i="2"/>
  <c r="AA49" i="2" s="1"/>
  <c r="V49" i="2"/>
  <c r="S49" i="2"/>
  <c r="K49" i="2"/>
  <c r="M49" i="2" s="1"/>
  <c r="T49" i="2" s="1"/>
  <c r="S48" i="2"/>
  <c r="K48" i="2"/>
  <c r="Z47" i="2"/>
  <c r="AA47" i="2" s="1"/>
  <c r="W47" i="2"/>
  <c r="V47" i="2"/>
  <c r="U47" i="2"/>
  <c r="T47" i="2"/>
  <c r="S47" i="2"/>
  <c r="M47" i="2"/>
  <c r="K47" i="2"/>
  <c r="S46" i="2"/>
  <c r="K46" i="2"/>
  <c r="AA45" i="2"/>
  <c r="Z45" i="2"/>
  <c r="V45" i="2"/>
  <c r="S45" i="2"/>
  <c r="M45" i="2"/>
  <c r="K45" i="2"/>
  <c r="V44" i="2"/>
  <c r="S44" i="2"/>
  <c r="M44" i="2"/>
  <c r="U44" i="2" s="1"/>
  <c r="K44" i="2"/>
  <c r="Z44" i="2" s="1"/>
  <c r="AA44" i="2" s="1"/>
  <c r="Z43" i="2"/>
  <c r="AA43" i="2" s="1"/>
  <c r="V43" i="2"/>
  <c r="U43" i="2"/>
  <c r="T43" i="2"/>
  <c r="S43" i="2"/>
  <c r="M43" i="2"/>
  <c r="K43" i="2"/>
  <c r="Z42" i="2"/>
  <c r="AA42" i="2" s="1"/>
  <c r="V42" i="2"/>
  <c r="S42" i="2"/>
  <c r="K42" i="2"/>
  <c r="M42" i="2" s="1"/>
  <c r="T42" i="2" s="1"/>
  <c r="V41" i="2"/>
  <c r="S41" i="2"/>
  <c r="K41" i="2"/>
  <c r="Z41" i="2" s="1"/>
  <c r="AA41" i="2" s="1"/>
  <c r="Z40" i="2"/>
  <c r="AA40" i="2" s="1"/>
  <c r="V40" i="2"/>
  <c r="S40" i="2"/>
  <c r="M40" i="2"/>
  <c r="U40" i="2" s="1"/>
  <c r="K40" i="2"/>
  <c r="S39" i="2"/>
  <c r="K39" i="2"/>
  <c r="V39" i="2" s="1"/>
  <c r="AA38" i="2"/>
  <c r="Z38" i="2"/>
  <c r="S38" i="2"/>
  <c r="M38" i="2"/>
  <c r="K38" i="2"/>
  <c r="V38" i="2" s="1"/>
  <c r="S37" i="2"/>
  <c r="M37" i="2"/>
  <c r="U37" i="2" s="1"/>
  <c r="K37" i="2"/>
  <c r="V36" i="2"/>
  <c r="S36" i="2"/>
  <c r="K36" i="2"/>
  <c r="Z36" i="2" s="1"/>
  <c r="AA36" i="2" s="1"/>
  <c r="Z35" i="2"/>
  <c r="AA35" i="2" s="1"/>
  <c r="V35" i="2"/>
  <c r="U35" i="2"/>
  <c r="T35" i="2"/>
  <c r="S35" i="2"/>
  <c r="K35" i="2"/>
  <c r="M35" i="2" s="1"/>
  <c r="Z34" i="2"/>
  <c r="AA34" i="2" s="1"/>
  <c r="V34" i="2"/>
  <c r="S34" i="2"/>
  <c r="K34" i="2"/>
  <c r="M34" i="2" s="1"/>
  <c r="T34" i="2" s="1"/>
  <c r="Z33" i="2"/>
  <c r="AA33" i="2" s="1"/>
  <c r="V33" i="2"/>
  <c r="S33" i="2"/>
  <c r="K33" i="2"/>
  <c r="M33" i="2" s="1"/>
  <c r="T33" i="2" s="1"/>
  <c r="Z32" i="2"/>
  <c r="AA32" i="2" s="1"/>
  <c r="S32" i="2"/>
  <c r="K32" i="2"/>
  <c r="S31" i="2"/>
  <c r="K31" i="2"/>
  <c r="S30" i="2"/>
  <c r="M30" i="2"/>
  <c r="K30" i="2"/>
  <c r="V29" i="2"/>
  <c r="S29" i="2"/>
  <c r="M29" i="2"/>
  <c r="K29" i="2"/>
  <c r="Z29" i="2" s="1"/>
  <c r="AA29" i="2" s="1"/>
  <c r="Z28" i="2"/>
  <c r="AA28" i="2" s="1"/>
  <c r="V28" i="2"/>
  <c r="T28" i="2"/>
  <c r="S28" i="2"/>
  <c r="M28" i="2"/>
  <c r="U28" i="2" s="1"/>
  <c r="W28" i="2" s="1"/>
  <c r="K28" i="2"/>
  <c r="V27" i="2"/>
  <c r="S27" i="2"/>
  <c r="K27" i="2"/>
  <c r="Z27" i="2" s="1"/>
  <c r="AA27" i="2" s="1"/>
  <c r="Z26" i="2"/>
  <c r="AA26" i="2" s="1"/>
  <c r="V26" i="2"/>
  <c r="U26" i="2"/>
  <c r="W26" i="2" s="1"/>
  <c r="T26" i="2"/>
  <c r="S26" i="2"/>
  <c r="K26" i="2"/>
  <c r="M26" i="2" s="1"/>
  <c r="V25" i="2"/>
  <c r="S25" i="2"/>
  <c r="K25" i="2"/>
  <c r="Z25" i="2" s="1"/>
  <c r="AA25" i="2" s="1"/>
  <c r="AA24" i="2"/>
  <c r="Z24" i="2"/>
  <c r="V24" i="2"/>
  <c r="S24" i="2"/>
  <c r="M24" i="2"/>
  <c r="U24" i="2" s="1"/>
  <c r="K24" i="2"/>
  <c r="Z23" i="2"/>
  <c r="AA23" i="2" s="1"/>
  <c r="S23" i="2"/>
  <c r="K23" i="2"/>
  <c r="V23" i="2" s="1"/>
  <c r="S22" i="2"/>
  <c r="K22" i="2"/>
  <c r="V22" i="2" s="1"/>
  <c r="S21" i="2"/>
  <c r="K21" i="2"/>
  <c r="M21" i="2" s="1"/>
  <c r="V20" i="2"/>
  <c r="S20" i="2"/>
  <c r="K20" i="2"/>
  <c r="Z20" i="2" s="1"/>
  <c r="AA20" i="2" s="1"/>
  <c r="Z19" i="2"/>
  <c r="AA19" i="2" s="1"/>
  <c r="V19" i="2"/>
  <c r="S19" i="2"/>
  <c r="K19" i="2"/>
  <c r="M19" i="2" s="1"/>
  <c r="U19" i="2" s="1"/>
  <c r="Z18" i="2"/>
  <c r="AA18" i="2" s="1"/>
  <c r="V18" i="2"/>
  <c r="U18" i="2"/>
  <c r="W18" i="2" s="1"/>
  <c r="S18" i="2"/>
  <c r="K18" i="2"/>
  <c r="M18" i="2" s="1"/>
  <c r="T18" i="2" s="1"/>
  <c r="Z17" i="2"/>
  <c r="AA17" i="2" s="1"/>
  <c r="V17" i="2"/>
  <c r="U17" i="2"/>
  <c r="W17" i="2" s="1"/>
  <c r="S17" i="2"/>
  <c r="K17" i="2"/>
  <c r="M17" i="2" s="1"/>
  <c r="T17" i="2" s="1"/>
  <c r="S16" i="2"/>
  <c r="K16" i="2"/>
  <c r="AA15" i="2"/>
  <c r="Z15" i="2"/>
  <c r="S15" i="2"/>
  <c r="K15" i="2"/>
  <c r="V15" i="2" s="1"/>
  <c r="S14" i="2"/>
  <c r="K14" i="2"/>
  <c r="M14" i="2" s="1"/>
  <c r="V13" i="2"/>
  <c r="T13" i="2"/>
  <c r="S13" i="2"/>
  <c r="M13" i="2"/>
  <c r="U13" i="2" s="1"/>
  <c r="K13" i="2"/>
  <c r="Z13" i="2" s="1"/>
  <c r="AA13" i="2" s="1"/>
  <c r="Z12" i="2"/>
  <c r="AA12" i="2" s="1"/>
  <c r="V12" i="2"/>
  <c r="U12" i="2"/>
  <c r="S12" i="2"/>
  <c r="M12" i="2"/>
  <c r="T12" i="2" s="1"/>
  <c r="K12" i="2"/>
  <c r="V11" i="2"/>
  <c r="S11" i="2"/>
  <c r="K11" i="2"/>
  <c r="Z11" i="2" s="1"/>
  <c r="AA11" i="2" s="1"/>
  <c r="Z10" i="2"/>
  <c r="AA10" i="2" s="1"/>
  <c r="V10" i="2"/>
  <c r="U10" i="2"/>
  <c r="W10" i="2" s="1"/>
  <c r="T10" i="2"/>
  <c r="S10" i="2"/>
  <c r="K10" i="2"/>
  <c r="M10" i="2" s="1"/>
  <c r="S9" i="2"/>
  <c r="K9" i="2"/>
  <c r="M9" i="2" s="1"/>
  <c r="Z8" i="2"/>
  <c r="AA8" i="2" s="1"/>
  <c r="V8" i="2"/>
  <c r="S8" i="2"/>
  <c r="K8" i="2"/>
  <c r="M8" i="2" s="1"/>
  <c r="Z7" i="2"/>
  <c r="AA7" i="2" s="1"/>
  <c r="S7" i="2"/>
  <c r="K7" i="2"/>
  <c r="V7" i="2" s="1"/>
  <c r="S6" i="2"/>
  <c r="K6" i="2"/>
  <c r="V6" i="2" s="1"/>
  <c r="S5" i="2"/>
  <c r="K5" i="2"/>
  <c r="V4" i="2"/>
  <c r="S4" i="2"/>
  <c r="K4" i="2"/>
  <c r="Z4" i="2" s="1"/>
  <c r="S3" i="2"/>
  <c r="K3" i="2"/>
  <c r="U14" i="2" l="1"/>
  <c r="W14" i="2" s="1"/>
  <c r="T14" i="2"/>
  <c r="W19" i="2"/>
  <c r="U21" i="2"/>
  <c r="T21" i="2"/>
  <c r="Z39" i="2"/>
  <c r="AA39" i="2" s="1"/>
  <c r="U42" i="2"/>
  <c r="W42" i="2" s="1"/>
  <c r="C16" i="3"/>
  <c r="Z6" i="2"/>
  <c r="AA6" i="2" s="1"/>
  <c r="U9" i="2"/>
  <c r="T9" i="2"/>
  <c r="U29" i="2"/>
  <c r="T29" i="2"/>
  <c r="M39" i="2"/>
  <c r="T44" i="2"/>
  <c r="W44" i="2" s="1"/>
  <c r="C14" i="3"/>
  <c r="V3" i="2"/>
  <c r="M6" i="2"/>
  <c r="M3" i="2"/>
  <c r="V9" i="2"/>
  <c r="Z21" i="2"/>
  <c r="AA21" i="2" s="1"/>
  <c r="V21" i="2"/>
  <c r="M15" i="2"/>
  <c r="U33" i="2"/>
  <c r="W33" i="2" s="1"/>
  <c r="Z9" i="2"/>
  <c r="AA9" i="2" s="1"/>
  <c r="Z30" i="2"/>
  <c r="AA30" i="2" s="1"/>
  <c r="V30" i="2"/>
  <c r="U45" i="2"/>
  <c r="T45" i="2"/>
  <c r="W51" i="2"/>
  <c r="W12" i="2"/>
  <c r="U30" i="2"/>
  <c r="W30" i="2" s="1"/>
  <c r="T30" i="2"/>
  <c r="AA4" i="2"/>
  <c r="M7" i="2"/>
  <c r="Z37" i="2"/>
  <c r="AA37" i="2" s="1"/>
  <c r="V37" i="2"/>
  <c r="Z48" i="2"/>
  <c r="AA48" i="2" s="1"/>
  <c r="V48" i="2"/>
  <c r="M48" i="2"/>
  <c r="V31" i="2"/>
  <c r="M31" i="2"/>
  <c r="U34" i="2"/>
  <c r="W34" i="2" s="1"/>
  <c r="T37" i="2"/>
  <c r="W37" i="2" s="1"/>
  <c r="W13" i="2"/>
  <c r="Z46" i="2"/>
  <c r="AA46" i="2" s="1"/>
  <c r="V46" i="2"/>
  <c r="U8" i="2"/>
  <c r="T8" i="2"/>
  <c r="T19" i="2"/>
  <c r="Z22" i="2"/>
  <c r="AA22" i="2" s="1"/>
  <c r="W43" i="2"/>
  <c r="M46" i="2"/>
  <c r="U49" i="2"/>
  <c r="W49" i="2" s="1"/>
  <c r="V16" i="2"/>
  <c r="M16" i="2"/>
  <c r="M22" i="2"/>
  <c r="Z5" i="2"/>
  <c r="AA5" i="2" s="1"/>
  <c r="V5" i="2"/>
  <c r="Z16" i="2"/>
  <c r="AA16" i="2" s="1"/>
  <c r="Z31" i="2"/>
  <c r="AA31" i="2" s="1"/>
  <c r="U38" i="2"/>
  <c r="T38" i="2"/>
  <c r="M5" i="2"/>
  <c r="M23" i="2"/>
  <c r="V32" i="2"/>
  <c r="M32" i="2"/>
  <c r="Z14" i="2"/>
  <c r="AA14" i="2" s="1"/>
  <c r="V14" i="2"/>
  <c r="W35" i="2"/>
  <c r="M50" i="2"/>
  <c r="M25" i="2"/>
  <c r="M41" i="2"/>
  <c r="M11" i="2"/>
  <c r="M27" i="2"/>
  <c r="M4" i="2"/>
  <c r="M20" i="2"/>
  <c r="M36" i="2"/>
  <c r="V50" i="2"/>
  <c r="T24" i="2"/>
  <c r="W24" i="2" s="1"/>
  <c r="T40" i="2"/>
  <c r="W40" i="2" s="1"/>
  <c r="U6" i="2" l="1"/>
  <c r="T6" i="2"/>
  <c r="U36" i="2"/>
  <c r="W36" i="2" s="1"/>
  <c r="T36" i="2"/>
  <c r="U20" i="2"/>
  <c r="W20" i="2" s="1"/>
  <c r="T20" i="2"/>
  <c r="U16" i="2"/>
  <c r="T16" i="2"/>
  <c r="T50" i="2"/>
  <c r="U50" i="2"/>
  <c r="W50" i="2" s="1"/>
  <c r="U4" i="2"/>
  <c r="T4" i="2"/>
  <c r="U11" i="2"/>
  <c r="T11" i="2"/>
  <c r="W29" i="2"/>
  <c r="U46" i="2"/>
  <c r="W46" i="2" s="1"/>
  <c r="T46" i="2"/>
  <c r="U31" i="2"/>
  <c r="T31" i="2"/>
  <c r="U41" i="2"/>
  <c r="T41" i="2"/>
  <c r="U22" i="2"/>
  <c r="T22" i="2"/>
  <c r="U15" i="2"/>
  <c r="T15" i="2"/>
  <c r="U32" i="2"/>
  <c r="T32" i="2"/>
  <c r="U7" i="2"/>
  <c r="T7" i="2"/>
  <c r="C23" i="3"/>
  <c r="D22" i="3"/>
  <c r="C22" i="3"/>
  <c r="D21" i="3"/>
  <c r="C21" i="3"/>
  <c r="D20" i="3"/>
  <c r="C20" i="3"/>
  <c r="C10" i="3"/>
  <c r="C9" i="3"/>
  <c r="C8" i="3"/>
  <c r="C7" i="3"/>
  <c r="C6" i="3"/>
  <c r="W38" i="2"/>
  <c r="U27" i="2"/>
  <c r="T27" i="2"/>
  <c r="U39" i="2"/>
  <c r="T39" i="2"/>
  <c r="W45" i="2"/>
  <c r="U25" i="2"/>
  <c r="T25" i="2"/>
  <c r="U48" i="2"/>
  <c r="W48" i="2" s="1"/>
  <c r="T48" i="2"/>
  <c r="W9" i="2"/>
  <c r="U23" i="2"/>
  <c r="T23" i="2"/>
  <c r="C11" i="3"/>
  <c r="U5" i="2"/>
  <c r="W5" i="2" s="1"/>
  <c r="T5" i="2"/>
  <c r="W8" i="2"/>
  <c r="C12" i="3"/>
  <c r="C13" i="3"/>
  <c r="U3" i="2"/>
  <c r="W3" i="2" s="1"/>
  <c r="T3" i="2"/>
  <c r="W21" i="2"/>
  <c r="W7" i="2" l="1"/>
  <c r="W4" i="2"/>
  <c r="D23" i="3" s="1"/>
  <c r="W32" i="2"/>
  <c r="W15" i="2"/>
  <c r="W27" i="2"/>
  <c r="W16" i="2"/>
  <c r="W23" i="2"/>
  <c r="W22" i="2"/>
  <c r="W39" i="2"/>
  <c r="W11" i="2"/>
  <c r="W41" i="2"/>
  <c r="W31" i="2"/>
  <c r="C15" i="3" s="1"/>
  <c r="W25" i="2"/>
  <c r="W6" i="2"/>
</calcChain>
</file>

<file path=xl/sharedStrings.xml><?xml version="1.0" encoding="utf-8"?>
<sst xmlns="http://schemas.openxmlformats.org/spreadsheetml/2006/main" count="201" uniqueCount="183">
  <si>
    <t>📈  OPTIONS 'BREAKOUT' PLAYBOOK  —  Bull Call Spread Trade Journal</t>
  </si>
  <si>
    <t>PRICE Framework Trade Journal  |  For Educational Purposes Only</t>
  </si>
  <si>
    <t>◈  HOW TO USE THIS JOURNAL</t>
  </si>
  <si>
    <t>Step 1:</t>
  </si>
  <si>
    <t>Go to the '📓 Trade Journal' sheet</t>
  </si>
  <si>
    <t>Step 2:</t>
  </si>
  <si>
    <t>Fill in ONE row per Bull Call Spread trade — BEFORE you place the order</t>
  </si>
  <si>
    <t>Step 3:</t>
  </si>
  <si>
    <t>Tick all 5 PRICE checklist boxes (columns N–R) — only trade if ALL 5 are ✔</t>
  </si>
  <si>
    <t>Step 4:</t>
  </si>
  <si>
    <t>Verify: Is breakeven BELOW current support? Is IV Rank &lt; 50?</t>
  </si>
  <si>
    <t>Step 5:</t>
  </si>
  <si>
    <t>Log your Exit Date, Exit Price, and P&amp;L when you close the position</t>
  </si>
  <si>
    <t>Step 6:</t>
  </si>
  <si>
    <t>Review your '📊 Performance' dashboard weekly to spot patterns</t>
  </si>
  <si>
    <t>✦  SHEETS IN THIS WORKBOOK</t>
  </si>
  <si>
    <t>🏠 Start Here</t>
  </si>
  <si>
    <t>→  You are here! Read instructions before trading.</t>
  </si>
  <si>
    <t>📓 Trade Journal</t>
  </si>
  <si>
    <t>→  Log every Bull Call Spread trade here. One row per trade.</t>
  </si>
  <si>
    <t>📊 Performance</t>
  </si>
  <si>
    <t>→  Auto-calculated win rate, P&amp;L, R:R, PRICE compliance score.</t>
  </si>
  <si>
    <t>📚 PRICE Cheatsheet</t>
  </si>
  <si>
    <t>→  Full 5-step execution framework + Entry/Exit trigger table.</t>
  </si>
  <si>
    <t>⚡  THE PRICE EXECUTION FRAMEWORK — 5 STEPS</t>
  </si>
  <si>
    <t>P</t>
  </si>
  <si>
    <t>PICK Expiration:  Target 30–45 DTE. Minimum 16 DTE. Avoid earnings ±7 days.</t>
  </si>
  <si>
    <t>R</t>
  </si>
  <si>
    <t>REVIEW Strike:  Long call ATM–slightly OTM (Delta 0.40–0.55). Short call at resistance or EM upper bound.</t>
  </si>
  <si>
    <t>I</t>
  </si>
  <si>
    <t>INSPECT Liquidity:  Bid-ask spread &lt; $0.20 per leg. Open Interest &gt; 100 contracts per leg.</t>
  </si>
  <si>
    <t>C</t>
  </si>
  <si>
    <t>CONDITION Check:  EMA21 &gt; EMA50 &gt; EMA200 on daily chart. IV Rank &lt; 50. Near 52-week high breakout.</t>
  </si>
  <si>
    <t>E</t>
  </si>
  <si>
    <t>EXECUTE Mid-Price:  Place LIMIT order at mid-price. Never chase the ask. Set 50% profit target GTC immediately.</t>
  </si>
  <si>
    <t>🎨  COLOUR CODING GUIDE</t>
  </si>
  <si>
    <t>Green background = Trade closed at PROFIT (≥ 50% of max profit)</t>
  </si>
  <si>
    <t>Red background = Trade closed at LOSS (≥ max loss threshold)</t>
  </si>
  <si>
    <t>Yellow background = Trade still OPEN</t>
  </si>
  <si>
    <t>Dark blue header = Required field — fill in BEFORE placing trade</t>
  </si>
  <si>
    <t>⚠️  DISCLAIMER</t>
  </si>
  <si>
    <t>For educational purposes only. Not investment advice. Options trading involves significant risk and is not appropriate for all investors. All examples are hypothetical and illustrative. Past performance is not indicative of future results. Offered through Moomoo Securities Malaysia Sdn. Bhd. (SC Malaysia, CMSL No. eCMSL/A0397/2024) and Moomoo Financial Singapore Pte. Ltd. (MAS, CMS Licence No. CMS101000). Always paper trade before committing real capital.</t>
  </si>
  <si>
    <t>📓  BREAKOUT PLAYBOOK — Bull Call Spread Trade Journal</t>
  </si>
  <si>
    <t>#</t>
  </si>
  <si>
    <t>Entry Date</t>
  </si>
  <si>
    <t>Ticker</t>
  </si>
  <si>
    <t>Strategy</t>
  </si>
  <si>
    <t>Long Strike</t>
  </si>
  <si>
    <t>Short Strike</t>
  </si>
  <si>
    <t>Expiry Date</t>
  </si>
  <si>
    <t>DTE at Entry</t>
  </si>
  <si>
    <t>Long Prem ($)</t>
  </si>
  <si>
    <t>Short Prem ($)</t>
  </si>
  <si>
    <t>Net Debit ($)</t>
  </si>
  <si>
    <t>Contracts</t>
  </si>
  <si>
    <t>Total Cost ($)</t>
  </si>
  <si>
    <t>P — Expiry OK?</t>
  </si>
  <si>
    <t>R — Strike OK?</t>
  </si>
  <si>
    <t>I — Liquidity OK?</t>
  </si>
  <si>
    <t>C — Condition OK?</t>
  </si>
  <si>
    <t>E — Mid-Price OK?</t>
  </si>
  <si>
    <t>PRICE Score</t>
  </si>
  <si>
    <t>Max Loss ($)</t>
  </si>
  <si>
    <t>Max Profit ($)</t>
  </si>
  <si>
    <t>Breakeven ($)</t>
  </si>
  <si>
    <t>Return on Risk</t>
  </si>
  <si>
    <t>Exit Date</t>
  </si>
  <si>
    <t>Exit Price ($)</t>
  </si>
  <si>
    <t>Realised P&amp;L ($)</t>
  </si>
  <si>
    <t>Result</t>
  </si>
  <si>
    <t>Exit Reason</t>
  </si>
  <si>
    <t>Notes</t>
  </si>
  <si>
    <t>15-Apr-26</t>
  </si>
  <si>
    <t>TSM</t>
  </si>
  <si>
    <t>Bull Call Spread</t>
  </si>
  <si>
    <t>01-May-26</t>
  </si>
  <si>
    <t>✔</t>
  </si>
  <si>
    <t>Paper Trade — Webinar Example</t>
  </si>
  <si>
    <t>TSM near $372.80 resistance. IV Rank 29. POP 61.57%.</t>
  </si>
  <si>
    <t>📊  PERFORMANCE DASHBOARD  —  Bull Call Spread Results</t>
  </si>
  <si>
    <t>📈  OVERALL SUMMARY</t>
  </si>
  <si>
    <t>Total Trades Entered</t>
  </si>
  <si>
    <t>Total Closed (WIN+LOSS)</t>
  </si>
  <si>
    <t>Open Positions</t>
  </si>
  <si>
    <t>WIN Count</t>
  </si>
  <si>
    <t>LOSS Count</t>
  </si>
  <si>
    <t>Win Rate</t>
  </si>
  <si>
    <t>Total Realised P&amp;L</t>
  </si>
  <si>
    <t>Avg P&amp;L per Trade</t>
  </si>
  <si>
    <t>Total Capital at Risk</t>
  </si>
  <si>
    <t>Avg Net Debit per Trade</t>
  </si>
  <si>
    <t>Avg Return on Risk</t>
  </si>
  <si>
    <t>PRICE Compliance Rate</t>
  </si>
  <si>
    <t>🏆  WIN / LOSS BREAKDOWN</t>
  </si>
  <si>
    <t>Metric</t>
  </si>
  <si>
    <t>WIN Trades</t>
  </si>
  <si>
    <t>LOSS Trades</t>
  </si>
  <si>
    <t>Count</t>
  </si>
  <si>
    <t>Total P&amp;L</t>
  </si>
  <si>
    <t>Avg P&amp;L</t>
  </si>
  <si>
    <t>Avg R:R</t>
  </si>
  <si>
    <t>📚  PRICE EXECUTION CHEATSHEET  —  Bull Call Spread Breakout Playbook</t>
  </si>
  <si>
    <t>⚡  THE 5-STEP PRICE EXECUTION FRAMEWORK</t>
  </si>
  <si>
    <t>PICK
Expiration</t>
  </si>
  <si>
    <t>• Target 30–45 DTE (sweet spot)
• Minimum: 8DTE × 2 = 16 DTE
• Avoid earnings window ±7 days
• Use EM column to reference expected move per expiry</t>
  </si>
  <si>
    <t>moomoo: Options Chain → Expiry dropdown → Check IV &amp; EM column
Select May 1 (22D) or later for standard setup</t>
  </si>
  <si>
    <t>REVIEW
Strike Price</t>
  </si>
  <si>
    <t>• Long call: ATM or slightly OTM
• Delta 0.40–0.55 on long call
• Short call: at resistance zone or EM upper bound
• TSM example: Buy 340C / Sell 355C</t>
  </si>
  <si>
    <t>moomoo: Strategy Builder → Adjust long/short strikes
Check that short strike is ABOVE your price target</t>
  </si>
  <si>
    <t>INSPECT
Liquidity</t>
  </si>
  <si>
    <t>• Bid-ask spread &lt; $0.20 per leg
• Open Interest &gt; 100 contracts per leg
• Volume ratio &gt; 1.5× average
• Tight spread = better fill at mid-price</t>
  </si>
  <si>
    <t>moomoo: Options Chain → Table view → Bid / Ask columns
Filter: Both ITM &amp; OTM, check for wide markets</t>
  </si>
  <si>
    <t>CONDITION
Check</t>
  </si>
  <si>
    <t>• EMA21 &gt; EMA50 &gt; EMA200 on daily chart
• Price in upper 25% of 52-week range
• IV Rank &lt; 50 (low IV environment)
• Analyst consensus: Buy / Strong Buy</t>
  </si>
  <si>
    <t>moomoo: Chart tab → Add EMA indicators
Valuation tab → Analyst Ratings
IV Analysis tab → Check IV Rank &amp; Percentile</t>
  </si>
  <si>
    <t>EXECUTE
at Mid-Price</t>
  </si>
  <si>
    <t>• Place LIMIT order at mid-price
• Never chase the ask
• Set 50% take-profit GTC immediately on entry
• Set exit alert at breakeven and short strike</t>
  </si>
  <si>
    <t>moomoo: Strategy Builder → Submit as Limit order
Set GTC limit: close when spread = 70–80% of max value
Set loss alert: close when debit drops 50%</t>
  </si>
  <si>
    <t>🔑  ENTRY &amp; EXIT TRIGGER TABLE</t>
  </si>
  <si>
    <t>Type</t>
  </si>
  <si>
    <t>Signal</t>
  </si>
  <si>
    <t>Action</t>
  </si>
  <si>
    <t>moomoo Tool</t>
  </si>
  <si>
    <t>✅ ENTRY</t>
  </si>
  <si>
    <t>EMA21 &gt; EMA50 &gt; EMA200 daily</t>
  </si>
  <si>
    <t>Only enter if full EMA stack aligned</t>
  </si>
  <si>
    <t>Chart → EMA indicators</t>
  </si>
  <si>
    <t>Fresh cross above EMA21 + volume</t>
  </si>
  <si>
    <t>Confirms momentum breakout</t>
  </si>
  <si>
    <t>Chart → Volume ratio &gt; 1.5×</t>
  </si>
  <si>
    <t>Near 52-week high / breakout level</t>
  </si>
  <si>
    <t>Price in upper 25% of 52-wk range</t>
  </si>
  <si>
    <t>Chart → 52-week high marker</t>
  </si>
  <si>
    <t>IV Rank &lt; 50%</t>
  </si>
  <si>
    <t>Low IV = cheaper spread premium</t>
  </si>
  <si>
    <t>Options → IV Analysis tab</t>
  </si>
  <si>
    <t>PRICE score = 5/5</t>
  </si>
  <si>
    <t>All 5 checklist boxes ticked</t>
  </si>
  <si>
    <t>Trade Journal → Column S</t>
  </si>
  <si>
    <t>💰 EXIT WIN</t>
  </si>
  <si>
    <t>Spread reaches 70–80% of max profit</t>
  </si>
  <si>
    <t>Close entire spread for profit</t>
  </si>
  <si>
    <t>Strategy Builder → GTC limit</t>
  </si>
  <si>
    <t>Price above short strike expiry</t>
  </si>
  <si>
    <t>Max profit achieved — close immediately</t>
  </si>
  <si>
    <t>Options Curve → Check P&amp;L</t>
  </si>
  <si>
    <t>🛑 EXIT LOSS</t>
  </si>
  <si>
    <t>Spread loses 50% of net debit</t>
  </si>
  <si>
    <t>Cut loss (e.g. debit $8.45 → close at $4.22)</t>
  </si>
  <si>
    <t>Strategy Builder → GTC stop</t>
  </si>
  <si>
    <t>2–3× red candle vs prior green</t>
  </si>
  <si>
    <t>Technical reversal signal — exit immediately</t>
  </si>
  <si>
    <t>Chart → Candle analysis</t>
  </si>
  <si>
    <t>Close below prior day's low</t>
  </si>
  <si>
    <t>Institutional selling confirmed</t>
  </si>
  <si>
    <t>Chart → Daily close</t>
  </si>
  <si>
    <t>⚠️ AVOID</t>
  </si>
  <si>
    <t>Earnings announcement ±7 days</t>
  </si>
  <si>
    <t>IV crush risk — do NOT hold through</t>
  </si>
  <si>
    <t>Options Chain → Earnings date</t>
  </si>
  <si>
    <t>🔍  MOOMOO SCREENER QUICK FILTERS — 'Breakout Play' Preset</t>
  </si>
  <si>
    <t>Filter</t>
  </si>
  <si>
    <t>Value</t>
  </si>
  <si>
    <t>Exchange</t>
  </si>
  <si>
    <t>NYSE / AMEX / Nasdaq</t>
  </si>
  <si>
    <t>Market Cap</t>
  </si>
  <si>
    <t>&gt; $100B (Large Cap)</t>
  </si>
  <si>
    <t>Stock Price</t>
  </si>
  <si>
    <t>&gt; $50</t>
  </si>
  <si>
    <t>Volume Ratio</t>
  </si>
  <si>
    <t>&gt; 1.5× (Intraday Turnover &gt; 100K)</t>
  </si>
  <si>
    <t>EMA 21</t>
  </si>
  <si>
    <t>Greater than EMA 50</t>
  </si>
  <si>
    <t>EMA 50</t>
  </si>
  <si>
    <t>Greater than EMA 200</t>
  </si>
  <si>
    <t>IV Percentile</t>
  </si>
  <si>
    <t>&lt; 50% (ideal)</t>
  </si>
  <si>
    <t>Analyst Consensus</t>
  </si>
  <si>
    <t>Buy / Strong Buy</t>
  </si>
  <si>
    <t>Options Eligible</t>
  </si>
  <si>
    <t>Yes</t>
  </si>
  <si>
    <t>New High</t>
  </si>
  <si>
    <t>Today or within 5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</si>
</sst>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5" x14ac:knownFonts="1">
    <font>
      <sz val="11"/>
      <color theme="1"/>
      <name val="Calibri"/>
      <family val="2"/>
      <charset val="1"/>
    </font>
    <font>
      <b/>
      <sz val="18"/>
      <color rgb="FFFFFFFF"/>
      <name val="Arial"/>
      <charset val="1"/>
    </font>
    <font>
      <sz val="11"/>
      <color rgb="FFF4A300"/>
      <name val="Arial"/>
      <charset val="1"/>
    </font>
    <font>
      <b/>
      <sz val="12"/>
      <color rgb="FFFFFFFF"/>
      <name val="Arial"/>
      <charset val="1"/>
    </font>
    <font>
      <b/>
      <sz val="10"/>
      <color rgb="FF0D1B2A"/>
      <name val="Arial"/>
      <charset val="1"/>
    </font>
    <font>
      <sz val="10"/>
      <color rgb="FF0D1B2A"/>
      <name val="Arial"/>
      <charset val="1"/>
    </font>
    <font>
      <b/>
      <sz val="10"/>
      <color rgb="FF1A7A6A"/>
      <name val="Arial"/>
      <charset val="1"/>
    </font>
    <font>
      <b/>
      <sz val="14"/>
      <color rgb="FFFFFFFF"/>
      <name val="Arial"/>
      <charset val="1"/>
    </font>
    <font>
      <sz val="10"/>
      <color rgb="FF16A34A"/>
      <name val="Arial"/>
      <charset val="1"/>
    </font>
    <font>
      <sz val="10"/>
      <color rgb="FFDC2626"/>
      <name val="Arial"/>
      <charset val="1"/>
    </font>
    <font>
      <sz val="10"/>
      <color rgb="FF92400E"/>
      <name val="Arial"/>
      <charset val="1"/>
    </font>
    <font>
      <sz val="10"/>
      <color rgb="FFFFFFFF"/>
      <name val="Arial"/>
      <charset val="1"/>
    </font>
    <font>
      <i/>
      <sz val="9"/>
      <color rgb="FF6B7280"/>
      <name val="Arial"/>
      <charset val="1"/>
    </font>
    <font>
      <b/>
      <sz val="16"/>
      <color rgb="FFFFFFFF"/>
      <name val="Arial"/>
      <charset val="1"/>
    </font>
    <font>
      <b/>
      <sz val="9"/>
      <color rgb="FFFFFFFF"/>
      <name val="Arial"/>
      <charset val="1"/>
    </font>
    <font>
      <sz val="9"/>
      <color rgb="FF0D1B2A"/>
      <name val="Arial"/>
      <charset val="1"/>
    </font>
    <font>
      <b/>
      <sz val="15"/>
      <color rgb="FFFFFFFF"/>
      <name val="Arial"/>
      <charset val="1"/>
    </font>
    <font>
      <b/>
      <sz val="11"/>
      <color rgb="FF1A7A6A"/>
      <name val="Arial"/>
      <charset val="1"/>
    </font>
    <font>
      <b/>
      <sz val="10"/>
      <color rgb="FFFFFFFF"/>
      <name val="Arial"/>
      <charset val="1"/>
    </font>
    <font>
      <b/>
      <sz val="10"/>
      <color rgb="FF16A34A"/>
      <name val="Arial"/>
      <charset val="1"/>
    </font>
    <font>
      <b/>
      <sz val="10"/>
      <color rgb="FFDC2626"/>
      <name val="Arial"/>
      <charset val="1"/>
    </font>
    <font>
      <b/>
      <sz val="20"/>
      <color rgb="FFFFFFFF"/>
      <name val="Arial"/>
      <charset val="1"/>
    </font>
    <font>
      <b/>
      <sz val="11"/>
      <color rgb="FFF4A300"/>
      <name val="Arial"/>
      <charset val="1"/>
    </font>
    <font>
      <i/>
      <sz val="9"/>
      <color rgb="FF1A7A6A"/>
      <name val="Arial"/>
      <charset val="1"/>
    </font>
    <font>
      <b/>
      <sz val="9"/>
      <color rgb="FF0D1B2A"/>
      <name val="Arial"/>
      <charset val="1"/>
    </font>
  </fonts>
  <fills count="22">
    <fill>
      <patternFill patternType="none"/>
    </fill>
    <fill>
      <patternFill patternType="gray125"/>
    </fill>
    <fill>
      <patternFill patternType="solid">
        <fgColor rgb="FF0D1B2A"/>
        <bgColor rgb="FF1C2E44"/>
      </patternFill>
    </fill>
    <fill>
      <patternFill patternType="solid">
        <fgColor rgb="FFF4A300"/>
        <bgColor rgb="FFFFCC00"/>
      </patternFill>
    </fill>
    <fill>
      <patternFill patternType="solid">
        <fgColor rgb="FF1A7A6A"/>
        <bgColor rgb="FF008080"/>
      </patternFill>
    </fill>
    <fill>
      <patternFill patternType="solid">
        <fgColor rgb="FFFFFFFF"/>
        <bgColor rgb="FFF5F7FA"/>
      </patternFill>
    </fill>
    <fill>
      <patternFill patternType="solid">
        <fgColor rgb="FFF5F7FA"/>
        <bgColor rgb="FFEFF6FF"/>
      </patternFill>
    </fill>
    <fill>
      <patternFill patternType="solid">
        <fgColor rgb="FFDCFCE7"/>
        <bgColor rgb="FFE6FDF8"/>
      </patternFill>
    </fill>
    <fill>
      <patternFill patternType="solid">
        <fgColor rgb="FFFEE2E2"/>
        <bgColor rgb="FFFEF2F2"/>
      </patternFill>
    </fill>
    <fill>
      <patternFill patternType="solid">
        <fgColor rgb="FFFEF9C3"/>
        <bgColor rgb="FFFFF9C4"/>
      </patternFill>
    </fill>
    <fill>
      <patternFill patternType="solid">
        <fgColor rgb="FF1C2E44"/>
        <bgColor rgb="FF1E3A5F"/>
      </patternFill>
    </fill>
    <fill>
      <patternFill patternType="solid">
        <fgColor rgb="FFFFF7ED"/>
        <bgColor rgb="FFFEF2F2"/>
      </patternFill>
    </fill>
    <fill>
      <patternFill patternType="solid">
        <fgColor rgb="FF1E3A5F"/>
        <bgColor rgb="FF1C2E44"/>
      </patternFill>
    </fill>
    <fill>
      <patternFill patternType="solid">
        <fgColor rgb="FF374151"/>
        <bgColor rgb="FF1E3A5F"/>
      </patternFill>
    </fill>
    <fill>
      <patternFill patternType="solid">
        <fgColor rgb="FFDBEAFE"/>
        <bgColor rgb="FFEFF6FF"/>
      </patternFill>
    </fill>
    <fill>
      <patternFill patternType="solid">
        <fgColor rgb="FFF0FDF4"/>
        <bgColor rgb="FFE6FDF8"/>
      </patternFill>
    </fill>
    <fill>
      <patternFill patternType="solid">
        <fgColor rgb="FFEFF6FF"/>
        <bgColor rgb="FFF5F7FA"/>
      </patternFill>
    </fill>
    <fill>
      <patternFill patternType="solid">
        <fgColor rgb="FFE6FDF8"/>
        <bgColor rgb="FFF0FDF4"/>
      </patternFill>
    </fill>
    <fill>
      <patternFill patternType="solid">
        <fgColor rgb="FF16A34A"/>
        <bgColor rgb="FF1A7A6A"/>
      </patternFill>
    </fill>
    <fill>
      <patternFill patternType="solid">
        <fgColor rgb="FFDC2626"/>
        <bgColor rgb="FF993366"/>
      </patternFill>
    </fill>
    <fill>
      <patternFill patternType="solid">
        <fgColor rgb="FFFEF2F2"/>
        <bgColor rgb="FFFFF7ED"/>
      </patternFill>
    </fill>
    <fill>
      <patternFill patternType="solid">
        <fgColor rgb="FFFFF9C4"/>
        <bgColor rgb="FFFEF9C3"/>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67">
    <xf numFmtId="0" fontId="0" fillId="0" borderId="0" xfId="0"/>
    <xf numFmtId="0" fontId="15" fillId="6" borderId="1" xfId="0" applyFont="1" applyFill="1" applyBorder="1" applyAlignment="1">
      <alignment horizontal="left" vertical="top" wrapText="1"/>
    </xf>
    <xf numFmtId="0" fontId="22" fillId="2" borderId="1" xfId="0" applyFont="1" applyFill="1" applyBorder="1" applyAlignment="1">
      <alignment horizontal="center" vertical="center" wrapText="1"/>
    </xf>
    <xf numFmtId="0" fontId="21" fillId="4" borderId="0" xfId="0" applyFont="1" applyFill="1" applyAlignment="1">
      <alignment horizontal="center" vertical="center" wrapText="1"/>
    </xf>
    <xf numFmtId="0" fontId="16" fillId="2" borderId="0" xfId="0" applyFont="1" applyFill="1" applyAlignment="1">
      <alignment horizontal="center" vertical="center" wrapText="1"/>
    </xf>
    <xf numFmtId="0" fontId="13" fillId="2" borderId="0" xfId="0" applyFont="1" applyFill="1" applyAlignment="1">
      <alignment horizontal="center" vertical="center" wrapText="1"/>
    </xf>
    <xf numFmtId="0" fontId="12" fillId="11" borderId="0" xfId="0" applyFont="1" applyFill="1" applyAlignment="1">
      <alignment horizontal="left" vertical="top" wrapText="1"/>
    </xf>
    <xf numFmtId="0" fontId="11" fillId="10" borderId="0" xfId="0" applyFont="1" applyFill="1" applyAlignment="1">
      <alignment horizontal="left" vertical="center" wrapText="1"/>
    </xf>
    <xf numFmtId="0" fontId="10" fillId="9" borderId="0" xfId="0" applyFont="1" applyFill="1" applyAlignment="1">
      <alignment horizontal="left" vertical="center" wrapText="1"/>
    </xf>
    <xf numFmtId="0" fontId="9" fillId="8" borderId="0" xfId="0" applyFont="1" applyFill="1" applyAlignment="1">
      <alignment horizontal="left" vertical="center" wrapText="1"/>
    </xf>
    <xf numFmtId="0" fontId="8" fillId="7" borderId="0" xfId="0" applyFont="1" applyFill="1" applyAlignment="1">
      <alignment horizontal="left" vertical="center" wrapText="1"/>
    </xf>
    <xf numFmtId="0" fontId="3" fillId="4" borderId="0" xfId="0" applyFont="1" applyFill="1" applyAlignment="1">
      <alignment horizontal="left" vertical="center" indent="1"/>
    </xf>
    <xf numFmtId="0" fontId="0" fillId="3"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5" borderId="0" xfId="0" applyFill="1"/>
    <xf numFmtId="0" fontId="4" fillId="5" borderId="0" xfId="0" applyFont="1" applyFill="1" applyAlignment="1">
      <alignment horizontal="left" vertical="center" wrapText="1"/>
    </xf>
    <xf numFmtId="0" fontId="5" fillId="5" borderId="0" xfId="0" applyFont="1" applyFill="1" applyAlignment="1">
      <alignment horizontal="left" vertical="center" wrapText="1"/>
    </xf>
    <xf numFmtId="0" fontId="0" fillId="6" borderId="0" xfId="0" applyFill="1"/>
    <xf numFmtId="0" fontId="4" fillId="6" borderId="0" xfId="0" applyFont="1" applyFill="1" applyAlignment="1">
      <alignment horizontal="left" vertical="center" wrapText="1"/>
    </xf>
    <xf numFmtId="0" fontId="5" fillId="6" borderId="0" xfId="0" applyFont="1" applyFill="1" applyAlignment="1">
      <alignment horizontal="left" vertical="center" wrapText="1"/>
    </xf>
    <xf numFmtId="0" fontId="6" fillId="5" borderId="0" xfId="0" applyFont="1" applyFill="1" applyAlignment="1">
      <alignment horizontal="left" vertical="center" wrapText="1"/>
    </xf>
    <xf numFmtId="0" fontId="6" fillId="6" borderId="0" xfId="0" applyFont="1" applyFill="1" applyAlignment="1">
      <alignment horizontal="left" vertical="center" wrapText="1"/>
    </xf>
    <xf numFmtId="0" fontId="7" fillId="4" borderId="0" xfId="0" applyFont="1" applyFill="1" applyAlignment="1">
      <alignment horizontal="center" vertical="center" wrapText="1"/>
    </xf>
    <xf numFmtId="0" fontId="14" fillId="2"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12"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164" fontId="15" fillId="6"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164" fontId="15" fillId="14" borderId="1" xfId="0" applyNumberFormat="1" applyFont="1" applyFill="1" applyBorder="1" applyAlignment="1">
      <alignment horizontal="center" vertical="center" wrapText="1"/>
    </xf>
    <xf numFmtId="165" fontId="15" fillId="14" borderId="1" xfId="0" applyNumberFormat="1" applyFont="1" applyFill="1" applyBorder="1" applyAlignment="1">
      <alignment horizontal="center" vertical="center" wrapText="1"/>
    </xf>
    <xf numFmtId="0" fontId="15" fillId="5" borderId="1" xfId="0" applyFont="1" applyFill="1" applyBorder="1"/>
    <xf numFmtId="164" fontId="15" fillId="5" borderId="1" xfId="0" applyNumberFormat="1" applyFont="1" applyFill="1" applyBorder="1" applyAlignment="1">
      <alignment horizontal="center" vertical="center" wrapText="1"/>
    </xf>
    <xf numFmtId="0" fontId="15" fillId="15" borderId="1" xfId="0" applyFont="1" applyFill="1" applyBorder="1" applyAlignment="1">
      <alignment horizontal="center" vertical="center" wrapText="1"/>
    </xf>
    <xf numFmtId="164" fontId="15" fillId="16" borderId="1" xfId="0" applyNumberFormat="1" applyFont="1" applyFill="1" applyBorder="1" applyAlignment="1">
      <alignment horizontal="center" vertical="center" wrapText="1"/>
    </xf>
    <xf numFmtId="165" fontId="15" fillId="16" borderId="1" xfId="0" applyNumberFormat="1"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6" borderId="1" xfId="0" applyFont="1" applyFill="1" applyBorder="1"/>
    <xf numFmtId="0" fontId="5" fillId="5" borderId="1" xfId="0" applyFont="1" applyFill="1" applyBorder="1" applyAlignment="1">
      <alignment horizontal="left" vertical="center" wrapText="1"/>
    </xf>
    <xf numFmtId="0" fontId="17" fillId="17" borderId="1" xfId="0" applyFont="1" applyFill="1" applyBorder="1" applyAlignment="1">
      <alignment horizontal="center" vertical="center" wrapText="1"/>
    </xf>
    <xf numFmtId="165" fontId="17" fillId="17" borderId="1" xfId="0" applyNumberFormat="1" applyFont="1" applyFill="1" applyBorder="1" applyAlignment="1">
      <alignment horizontal="center" vertical="center" wrapText="1"/>
    </xf>
    <xf numFmtId="164" fontId="17" fillId="17"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18" borderId="1" xfId="0" applyFont="1" applyFill="1" applyBorder="1" applyAlignment="1">
      <alignment horizontal="center" vertical="center" wrapText="1"/>
    </xf>
    <xf numFmtId="0" fontId="18" fillId="19"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19" fillId="15" borderId="1" xfId="0" applyFont="1" applyFill="1" applyBorder="1" applyAlignment="1">
      <alignment horizontal="center" vertical="center" wrapText="1"/>
    </xf>
    <xf numFmtId="0" fontId="20" fillId="20"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164" fontId="19" fillId="15" borderId="1" xfId="0" applyNumberFormat="1" applyFont="1" applyFill="1" applyBorder="1" applyAlignment="1">
      <alignment horizontal="center" vertical="center" wrapText="1"/>
    </xf>
    <xf numFmtId="164" fontId="20" fillId="20" borderId="1" xfId="0" applyNumberFormat="1" applyFont="1" applyFill="1" applyBorder="1" applyAlignment="1">
      <alignment horizontal="center" vertical="center" wrapText="1"/>
    </xf>
    <xf numFmtId="165" fontId="19" fillId="15" borderId="1" xfId="0" applyNumberFormat="1" applyFont="1" applyFill="1" applyBorder="1" applyAlignment="1">
      <alignment horizontal="center" vertical="center" wrapText="1"/>
    </xf>
    <xf numFmtId="165" fontId="20" fillId="20" borderId="1" xfId="0" applyNumberFormat="1" applyFont="1" applyFill="1" applyBorder="1" applyAlignment="1">
      <alignment horizontal="center" vertical="center" wrapText="1"/>
    </xf>
    <xf numFmtId="0" fontId="18" fillId="12" borderId="1" xfId="0" applyFont="1" applyFill="1" applyBorder="1" applyAlignment="1">
      <alignment horizontal="center" vertical="center" wrapText="1"/>
    </xf>
    <xf numFmtId="0" fontId="24" fillId="15"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24" fillId="21" borderId="1" xfId="0" applyFont="1" applyFill="1" applyBorder="1" applyAlignment="1">
      <alignment horizontal="left" vertical="center" wrapText="1"/>
    </xf>
    <xf numFmtId="0" fontId="15" fillId="21" borderId="1" xfId="0" applyFont="1" applyFill="1" applyBorder="1" applyAlignment="1">
      <alignment horizontal="left" vertical="center" wrapText="1"/>
    </xf>
    <xf numFmtId="0" fontId="24" fillId="20" borderId="1" xfId="0" applyFont="1" applyFill="1" applyBorder="1" applyAlignment="1">
      <alignment horizontal="left" vertical="center" wrapText="1"/>
    </xf>
    <xf numFmtId="0" fontId="15" fillId="20"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0" fontId="15" fillId="5"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23" fillId="17" borderId="1" xfId="0" applyFont="1" applyFill="1" applyBorder="1" applyAlignment="1">
      <alignment horizontal="left" vertical="top" wrapText="1"/>
    </xf>
  </cellXfs>
  <cellStyles count="1">
    <cellStyle name="Normal" xfId="0" builtinId="0"/>
  </cellStyles>
  <dxfs count="3">
    <dxf>
      <font>
        <b/>
        <color rgb="FFDC2626"/>
        <name val="Arial"/>
        <charset val="1"/>
      </font>
      <fill>
        <patternFill>
          <bgColor rgb="FFFEE2E2"/>
        </patternFill>
      </fill>
    </dxf>
    <dxf>
      <font>
        <b/>
        <color rgb="FF16A34A"/>
        <name val="Arial"/>
        <charset val="1"/>
      </font>
      <fill>
        <patternFill>
          <bgColor rgb="FFDCFCE7"/>
        </patternFill>
      </fill>
    </dxf>
    <dxf>
      <font>
        <b/>
        <color rgb="FFDC2626"/>
        <name val="Arial"/>
        <charset val="1"/>
      </font>
      <fill>
        <patternFill>
          <bgColor rgb="FFFEE2E2"/>
        </patternFill>
      </fill>
    </dxf>
  </dxfs>
  <tableStyles count="0" defaultTableStyle="TableStyleMedium2" defaultPivotStyle="PivotStyleLight16"/>
  <colors>
    <indexedColors>
      <rgbColor rgb="FF000000"/>
      <rgbColor rgb="FFFFFFFF"/>
      <rgbColor rgb="FFDC2626"/>
      <rgbColor rgb="FF00FF00"/>
      <rgbColor rgb="FF0000FF"/>
      <rgbColor rgb="FFFFF7ED"/>
      <rgbColor rgb="FFFF00FF"/>
      <rgbColor rgb="FF00FFFF"/>
      <rgbColor rgb="FF800000"/>
      <rgbColor rgb="FF008000"/>
      <rgbColor rgb="FF000080"/>
      <rgbColor rgb="FF808000"/>
      <rgbColor rgb="FF800080"/>
      <rgbColor rgb="FF1A7A6A"/>
      <rgbColor rgb="FFDBEAFE"/>
      <rgbColor rgb="FF808080"/>
      <rgbColor rgb="FF9999FF"/>
      <rgbColor rgb="FF993366"/>
      <rgbColor rgb="FFFFF9C4"/>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6FDF8"/>
      <rgbColor rgb="FFF0FDF4"/>
      <rgbColor rgb="FFFEF9C3"/>
      <rgbColor rgb="FFEFF6FF"/>
      <rgbColor rgb="FFFEF2F2"/>
      <rgbColor rgb="FFF5F7FA"/>
      <rgbColor rgb="FFFEE2E2"/>
      <rgbColor rgb="FF3366FF"/>
      <rgbColor rgb="FF33CCCC"/>
      <rgbColor rgb="FF99CC00"/>
      <rgbColor rgb="FFFFCC00"/>
      <rgbColor rgb="FFF4A300"/>
      <rgbColor rgb="FFFF6600"/>
      <rgbColor rgb="FF6B7280"/>
      <rgbColor rgb="FF969696"/>
      <rgbColor rgb="FF1E3A5F"/>
      <rgbColor rgb="FF16A34A"/>
      <rgbColor rgb="FF0D1B2A"/>
      <rgbColor rgb="FF333300"/>
      <rgbColor rgb="FF92400E"/>
      <rgbColor rgb="FF993366"/>
      <rgbColor rgb="FF374151"/>
      <rgbColor rgb="FF1C2E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abSelected="1" zoomScaleNormal="100" workbookViewId="0">
      <selection sqref="A1:D1"/>
    </sheetView>
  </sheetViews>
  <sheetFormatPr defaultColWidth="8.6640625" defaultRowHeight="14.4" x14ac:dyDescent="0.3"/>
  <cols>
    <col min="1" max="1" width="3" customWidth="1"/>
    <col min="2" max="2" width="28" customWidth="1"/>
    <col min="3" max="3" width="60" customWidth="1"/>
    <col min="4" max="4" width="28.33203125" customWidth="1"/>
  </cols>
  <sheetData>
    <row r="1" spans="1:4" ht="54.75" customHeight="1" x14ac:dyDescent="0.3">
      <c r="A1" s="14" t="s">
        <v>0</v>
      </c>
      <c r="B1" s="14"/>
      <c r="C1" s="14"/>
      <c r="D1" s="14"/>
    </row>
    <row r="2" spans="1:4" ht="21.75" customHeight="1" x14ac:dyDescent="0.3">
      <c r="A2" s="13" t="s">
        <v>1</v>
      </c>
      <c r="B2" s="13"/>
      <c r="C2" s="13"/>
      <c r="D2" s="13"/>
    </row>
    <row r="3" spans="1:4" ht="3.75" customHeight="1" x14ac:dyDescent="0.3">
      <c r="A3" s="12"/>
      <c r="B3" s="12"/>
      <c r="C3" s="12"/>
      <c r="D3" s="12"/>
    </row>
    <row r="5" spans="1:4" ht="24" customHeight="1" x14ac:dyDescent="0.3">
      <c r="A5" s="11" t="s">
        <v>2</v>
      </c>
      <c r="B5" s="11"/>
      <c r="C5" s="11"/>
      <c r="D5" s="11"/>
    </row>
    <row r="6" spans="1:4" ht="21.75" customHeight="1" x14ac:dyDescent="0.3">
      <c r="A6" s="15"/>
      <c r="B6" s="16" t="s">
        <v>3</v>
      </c>
      <c r="C6" s="17" t="s">
        <v>4</v>
      </c>
      <c r="D6" s="15"/>
    </row>
    <row r="7" spans="1:4" ht="21.75" customHeight="1" x14ac:dyDescent="0.3">
      <c r="A7" s="18"/>
      <c r="B7" s="19" t="s">
        <v>5</v>
      </c>
      <c r="C7" s="20" t="s">
        <v>6</v>
      </c>
      <c r="D7" s="18"/>
    </row>
    <row r="8" spans="1:4" ht="21.75" customHeight="1" x14ac:dyDescent="0.3">
      <c r="A8" s="15"/>
      <c r="B8" s="16" t="s">
        <v>7</v>
      </c>
      <c r="C8" s="17" t="s">
        <v>8</v>
      </c>
      <c r="D8" s="15"/>
    </row>
    <row r="9" spans="1:4" ht="21.75" customHeight="1" x14ac:dyDescent="0.3">
      <c r="A9" s="18"/>
      <c r="B9" s="19" t="s">
        <v>9</v>
      </c>
      <c r="C9" s="20" t="s">
        <v>10</v>
      </c>
      <c r="D9" s="18"/>
    </row>
    <row r="10" spans="1:4" ht="21.75" customHeight="1" x14ac:dyDescent="0.3">
      <c r="A10" s="15"/>
      <c r="B10" s="16" t="s">
        <v>11</v>
      </c>
      <c r="C10" s="17" t="s">
        <v>12</v>
      </c>
      <c r="D10" s="15"/>
    </row>
    <row r="11" spans="1:4" ht="21.75" customHeight="1" x14ac:dyDescent="0.3">
      <c r="A11" s="18"/>
      <c r="B11" s="19" t="s">
        <v>13</v>
      </c>
      <c r="C11" s="20" t="s">
        <v>14</v>
      </c>
      <c r="D11" s="18"/>
    </row>
    <row r="13" spans="1:4" ht="24" customHeight="1" x14ac:dyDescent="0.3">
      <c r="A13" s="11" t="s">
        <v>15</v>
      </c>
      <c r="B13" s="11"/>
      <c r="C13" s="11"/>
      <c r="D13" s="11"/>
    </row>
    <row r="14" spans="1:4" ht="21.75" customHeight="1" x14ac:dyDescent="0.3">
      <c r="A14" s="15"/>
      <c r="B14" s="21" t="s">
        <v>16</v>
      </c>
      <c r="C14" s="17" t="s">
        <v>17</v>
      </c>
      <c r="D14" s="15"/>
    </row>
    <row r="15" spans="1:4" ht="21.75" customHeight="1" x14ac:dyDescent="0.3">
      <c r="A15" s="18"/>
      <c r="B15" s="22" t="s">
        <v>18</v>
      </c>
      <c r="C15" s="20" t="s">
        <v>19</v>
      </c>
      <c r="D15" s="18"/>
    </row>
    <row r="16" spans="1:4" ht="21.75" customHeight="1" x14ac:dyDescent="0.3">
      <c r="A16" s="15"/>
      <c r="B16" s="21" t="s">
        <v>20</v>
      </c>
      <c r="C16" s="17" t="s">
        <v>21</v>
      </c>
      <c r="D16" s="15"/>
    </row>
    <row r="17" spans="1:4" ht="21.75" customHeight="1" x14ac:dyDescent="0.3">
      <c r="A17" s="18"/>
      <c r="B17" s="22" t="s">
        <v>22</v>
      </c>
      <c r="C17" s="20" t="s">
        <v>23</v>
      </c>
      <c r="D17" s="18"/>
    </row>
    <row r="19" spans="1:4" ht="24" customHeight="1" x14ac:dyDescent="0.3">
      <c r="A19" s="11" t="s">
        <v>24</v>
      </c>
      <c r="B19" s="11"/>
      <c r="C19" s="11"/>
      <c r="D19" s="11"/>
    </row>
    <row r="20" spans="1:4" ht="30" customHeight="1" x14ac:dyDescent="0.3">
      <c r="B20" s="23" t="s">
        <v>25</v>
      </c>
      <c r="C20" s="17" t="s">
        <v>26</v>
      </c>
    </row>
    <row r="21" spans="1:4" ht="30" customHeight="1" x14ac:dyDescent="0.3">
      <c r="B21" s="23" t="s">
        <v>27</v>
      </c>
      <c r="C21" s="20" t="s">
        <v>28</v>
      </c>
    </row>
    <row r="22" spans="1:4" ht="30" customHeight="1" x14ac:dyDescent="0.3">
      <c r="B22" s="23" t="s">
        <v>29</v>
      </c>
      <c r="C22" s="17" t="s">
        <v>30</v>
      </c>
    </row>
    <row r="23" spans="1:4" ht="30" customHeight="1" x14ac:dyDescent="0.3">
      <c r="B23" s="23" t="s">
        <v>31</v>
      </c>
      <c r="C23" s="20" t="s">
        <v>32</v>
      </c>
    </row>
    <row r="24" spans="1:4" ht="30" customHeight="1" x14ac:dyDescent="0.3">
      <c r="B24" s="23" t="s">
        <v>33</v>
      </c>
      <c r="C24" s="17" t="s">
        <v>34</v>
      </c>
    </row>
    <row r="26" spans="1:4" ht="24" customHeight="1" x14ac:dyDescent="0.3">
      <c r="A26" s="11" t="s">
        <v>35</v>
      </c>
      <c r="B26" s="11"/>
      <c r="C26" s="11"/>
      <c r="D26" s="11"/>
    </row>
    <row r="27" spans="1:4" ht="21.75" customHeight="1" x14ac:dyDescent="0.3">
      <c r="B27" s="10" t="s">
        <v>36</v>
      </c>
      <c r="C27" s="10"/>
      <c r="D27" s="10"/>
    </row>
    <row r="28" spans="1:4" ht="21.75" customHeight="1" x14ac:dyDescent="0.3">
      <c r="B28" s="9" t="s">
        <v>37</v>
      </c>
      <c r="C28" s="9"/>
      <c r="D28" s="9"/>
    </row>
    <row r="29" spans="1:4" ht="21.75" customHeight="1" x14ac:dyDescent="0.3">
      <c r="B29" s="8" t="s">
        <v>38</v>
      </c>
      <c r="C29" s="8"/>
      <c r="D29" s="8"/>
    </row>
    <row r="30" spans="1:4" ht="21.75" customHeight="1" x14ac:dyDescent="0.3">
      <c r="B30" s="7" t="s">
        <v>39</v>
      </c>
      <c r="C30" s="7"/>
      <c r="D30" s="7"/>
    </row>
    <row r="32" spans="1:4" ht="24" customHeight="1" x14ac:dyDescent="0.3">
      <c r="A32" s="11" t="s">
        <v>40</v>
      </c>
      <c r="B32" s="11"/>
      <c r="C32" s="11"/>
      <c r="D32" s="11"/>
    </row>
    <row r="33" spans="2:4" ht="30" customHeight="1" x14ac:dyDescent="0.3">
      <c r="B33" s="6" t="s">
        <v>41</v>
      </c>
      <c r="C33" s="6"/>
      <c r="D33" s="6"/>
    </row>
    <row r="34" spans="2:4" ht="30" customHeight="1" x14ac:dyDescent="0.3">
      <c r="B34" s="6"/>
      <c r="C34" s="6"/>
      <c r="D34" s="6"/>
    </row>
  </sheetData>
  <mergeCells count="13">
    <mergeCell ref="B30:D30"/>
    <mergeCell ref="A32:D32"/>
    <mergeCell ref="B33:D34"/>
    <mergeCell ref="A19:D19"/>
    <mergeCell ref="A26:D26"/>
    <mergeCell ref="B27:D27"/>
    <mergeCell ref="B28:D28"/>
    <mergeCell ref="B29:D29"/>
    <mergeCell ref="A1:D1"/>
    <mergeCell ref="A2:D2"/>
    <mergeCell ref="A3:D3"/>
    <mergeCell ref="A5:D5"/>
    <mergeCell ref="A13:D1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52"/>
  <sheetViews>
    <sheetView showGridLines="0" zoomScaleNormal="100" workbookViewId="0">
      <pane ySplit="2" topLeftCell="A3" activePane="bottomLeft" state="frozen"/>
      <selection pane="bottomLeft" sqref="A1:AC1"/>
    </sheetView>
  </sheetViews>
  <sheetFormatPr defaultColWidth="8.6640625" defaultRowHeight="14.4" x14ac:dyDescent="0.3"/>
  <cols>
    <col min="1" max="1" width="4" customWidth="1"/>
    <col min="2" max="2" width="12" customWidth="1"/>
    <col min="3" max="3" width="9" customWidth="1"/>
    <col min="4" max="4" width="18" customWidth="1"/>
    <col min="5" max="7" width="12" customWidth="1"/>
    <col min="8" max="8" width="10" customWidth="1"/>
    <col min="9" max="11" width="12" customWidth="1"/>
    <col min="12" max="12" width="10" customWidth="1"/>
    <col min="13" max="15" width="12" customWidth="1"/>
    <col min="16" max="18" width="13" customWidth="1"/>
    <col min="19" max="25" width="12" customWidth="1"/>
    <col min="26" max="26" width="14" customWidth="1"/>
    <col min="27" max="27" width="12" customWidth="1"/>
    <col min="28" max="28" width="22" customWidth="1"/>
    <col min="29" max="29" width="30" customWidth="1"/>
  </cols>
  <sheetData>
    <row r="1" spans="1:29" ht="39.75" customHeight="1" x14ac:dyDescent="0.3">
      <c r="A1" s="5" t="s">
        <v>42</v>
      </c>
      <c r="B1" s="5"/>
      <c r="C1" s="5"/>
      <c r="D1" s="5"/>
      <c r="E1" s="5"/>
      <c r="F1" s="5"/>
      <c r="G1" s="5"/>
      <c r="H1" s="5"/>
      <c r="I1" s="5"/>
      <c r="J1" s="5"/>
      <c r="K1" s="5"/>
      <c r="L1" s="5"/>
      <c r="M1" s="5"/>
      <c r="N1" s="5"/>
      <c r="O1" s="5"/>
      <c r="P1" s="5"/>
      <c r="Q1" s="5"/>
      <c r="R1" s="5"/>
      <c r="S1" s="5"/>
      <c r="T1" s="5"/>
      <c r="U1" s="5"/>
      <c r="V1" s="5"/>
      <c r="W1" s="5"/>
      <c r="X1" s="5"/>
      <c r="Y1" s="5"/>
      <c r="Z1" s="5"/>
      <c r="AA1" s="5"/>
      <c r="AB1" s="5"/>
      <c r="AC1" s="5"/>
    </row>
    <row r="2" spans="1:29" ht="30" customHeight="1" x14ac:dyDescent="0.3">
      <c r="A2" s="24" t="s">
        <v>43</v>
      </c>
      <c r="B2" s="24" t="s">
        <v>44</v>
      </c>
      <c r="C2" s="24" t="s">
        <v>45</v>
      </c>
      <c r="D2" s="24" t="s">
        <v>46</v>
      </c>
      <c r="E2" s="24" t="s">
        <v>47</v>
      </c>
      <c r="F2" s="24" t="s">
        <v>48</v>
      </c>
      <c r="G2" s="24" t="s">
        <v>49</v>
      </c>
      <c r="H2" s="24" t="s">
        <v>50</v>
      </c>
      <c r="I2" s="24" t="s">
        <v>51</v>
      </c>
      <c r="J2" s="24" t="s">
        <v>52</v>
      </c>
      <c r="K2" s="24" t="s">
        <v>53</v>
      </c>
      <c r="L2" s="24" t="s">
        <v>54</v>
      </c>
      <c r="M2" s="24" t="s">
        <v>55</v>
      </c>
      <c r="N2" s="25" t="s">
        <v>56</v>
      </c>
      <c r="O2" s="25" t="s">
        <v>57</v>
      </c>
      <c r="P2" s="25" t="s">
        <v>58</v>
      </c>
      <c r="Q2" s="25" t="s">
        <v>59</v>
      </c>
      <c r="R2" s="25" t="s">
        <v>60</v>
      </c>
      <c r="S2" s="25" t="s">
        <v>61</v>
      </c>
      <c r="T2" s="26" t="s">
        <v>62</v>
      </c>
      <c r="U2" s="26" t="s">
        <v>63</v>
      </c>
      <c r="V2" s="26" t="s">
        <v>64</v>
      </c>
      <c r="W2" s="26" t="s">
        <v>65</v>
      </c>
      <c r="X2" s="27" t="s">
        <v>66</v>
      </c>
      <c r="Y2" s="27" t="s">
        <v>67</v>
      </c>
      <c r="Z2" s="27" t="s">
        <v>68</v>
      </c>
      <c r="AA2" s="27" t="s">
        <v>69</v>
      </c>
      <c r="AB2" s="27" t="s">
        <v>70</v>
      </c>
      <c r="AC2" s="27" t="s">
        <v>71</v>
      </c>
    </row>
    <row r="3" spans="1:29" ht="19.5" customHeight="1" x14ac:dyDescent="0.3">
      <c r="A3" s="28">
        <v>1</v>
      </c>
      <c r="B3" s="28" t="s">
        <v>72</v>
      </c>
      <c r="C3" s="28" t="s">
        <v>73</v>
      </c>
      <c r="D3" s="28" t="s">
        <v>74</v>
      </c>
      <c r="E3" s="28">
        <v>340</v>
      </c>
      <c r="F3" s="28">
        <v>355</v>
      </c>
      <c r="G3" s="28" t="s">
        <v>75</v>
      </c>
      <c r="H3" s="28">
        <v>22</v>
      </c>
      <c r="I3" s="28">
        <v>8.5</v>
      </c>
      <c r="J3" s="28">
        <v>3.05</v>
      </c>
      <c r="K3" s="29">
        <f>I3-J3</f>
        <v>5.45</v>
      </c>
      <c r="L3" s="28">
        <v>1</v>
      </c>
      <c r="M3" s="29">
        <f>K3*L3*100</f>
        <v>545</v>
      </c>
      <c r="N3" s="30" t="s">
        <v>76</v>
      </c>
      <c r="O3" s="30" t="s">
        <v>76</v>
      </c>
      <c r="P3" s="30" t="s">
        <v>76</v>
      </c>
      <c r="Q3" s="30" t="s">
        <v>76</v>
      </c>
      <c r="R3" s="30" t="s">
        <v>76</v>
      </c>
      <c r="S3" s="30">
        <f>COUNTIF(N3:R3,"✔")</f>
        <v>5</v>
      </c>
      <c r="T3" s="31">
        <f>M3</f>
        <v>545</v>
      </c>
      <c r="U3" s="31">
        <f>(F3-E3)*100*L3-M3</f>
        <v>955</v>
      </c>
      <c r="V3" s="31">
        <f>E3+K3</f>
        <v>345.45</v>
      </c>
      <c r="W3" s="32">
        <f t="shared" ref="W3:W34" si="0">IFERROR(U3/T3,"")</f>
        <v>1.7522935779816513</v>
      </c>
      <c r="X3" s="28"/>
      <c r="Y3" s="28"/>
      <c r="Z3" s="28"/>
      <c r="AA3" s="28"/>
      <c r="AB3" s="28" t="s">
        <v>77</v>
      </c>
      <c r="AC3" s="28" t="s">
        <v>78</v>
      </c>
    </row>
    <row r="4" spans="1:29" ht="19.5" customHeight="1" x14ac:dyDescent="0.3">
      <c r="A4" s="33"/>
      <c r="B4" s="33"/>
      <c r="C4" s="33"/>
      <c r="D4" s="33"/>
      <c r="E4" s="33"/>
      <c r="F4" s="33"/>
      <c r="G4" s="33"/>
      <c r="H4" s="33"/>
      <c r="I4" s="33"/>
      <c r="J4" s="33"/>
      <c r="K4" s="34">
        <f t="shared" ref="K4:K35" si="1">IFERROR(I4-J4,"")</f>
        <v>0</v>
      </c>
      <c r="L4" s="33"/>
      <c r="M4" s="34">
        <f t="shared" ref="M4:M35" si="2">IFERROR(K4*L4*100,"")</f>
        <v>0</v>
      </c>
      <c r="N4" s="33"/>
      <c r="O4" s="33"/>
      <c r="P4" s="33"/>
      <c r="Q4" s="33"/>
      <c r="R4" s="33"/>
      <c r="S4" s="35">
        <f t="shared" ref="S4:S35" si="3">IFERROR(COUNTIF(N4:R4,"✔"),"")</f>
        <v>0</v>
      </c>
      <c r="T4" s="36">
        <f t="shared" ref="T4:T35" si="4">IFERROR(M4,"")</f>
        <v>0</v>
      </c>
      <c r="U4" s="36">
        <f t="shared" ref="U4:U35" si="5">IFERROR((F4-E4)*100*L4-M4,"")</f>
        <v>0</v>
      </c>
      <c r="V4" s="36">
        <f t="shared" ref="V4:V35" si="6">IFERROR(E4+K4,"")</f>
        <v>0</v>
      </c>
      <c r="W4" s="37" t="str">
        <f t="shared" si="0"/>
        <v/>
      </c>
      <c r="X4" s="33"/>
      <c r="Y4" s="33"/>
      <c r="Z4" s="34">
        <f t="shared" ref="Z4:Z35" si="7">IFERROR((Y4-K4)*100*L4,"")</f>
        <v>0</v>
      </c>
      <c r="AA4" s="38" t="str">
        <f t="shared" ref="AA4:AA35" si="8">IFERROR(IF(Z4="","OPEN",IF(Z4&gt;0,"WIN","LOSS")),"")</f>
        <v>LOSS</v>
      </c>
      <c r="AB4" s="33"/>
      <c r="AC4" s="33"/>
    </row>
    <row r="5" spans="1:29" ht="19.5" customHeight="1" x14ac:dyDescent="0.3">
      <c r="A5" s="39"/>
      <c r="B5" s="39"/>
      <c r="C5" s="39"/>
      <c r="D5" s="39"/>
      <c r="E5" s="39"/>
      <c r="F5" s="39"/>
      <c r="G5" s="39"/>
      <c r="H5" s="39"/>
      <c r="I5" s="39"/>
      <c r="J5" s="39"/>
      <c r="K5" s="29">
        <f t="shared" si="1"/>
        <v>0</v>
      </c>
      <c r="L5" s="39"/>
      <c r="M5" s="29">
        <f t="shared" si="2"/>
        <v>0</v>
      </c>
      <c r="N5" s="39"/>
      <c r="O5" s="39"/>
      <c r="P5" s="39"/>
      <c r="Q5" s="39"/>
      <c r="R5" s="39"/>
      <c r="S5" s="30">
        <f t="shared" si="3"/>
        <v>0</v>
      </c>
      <c r="T5" s="31">
        <f t="shared" si="4"/>
        <v>0</v>
      </c>
      <c r="U5" s="31">
        <f t="shared" si="5"/>
        <v>0</v>
      </c>
      <c r="V5" s="31">
        <f t="shared" si="6"/>
        <v>0</v>
      </c>
      <c r="W5" s="32" t="str">
        <f t="shared" si="0"/>
        <v/>
      </c>
      <c r="X5" s="39"/>
      <c r="Y5" s="39"/>
      <c r="Z5" s="29">
        <f t="shared" si="7"/>
        <v>0</v>
      </c>
      <c r="AA5" s="28" t="str">
        <f t="shared" si="8"/>
        <v>LOSS</v>
      </c>
      <c r="AB5" s="39"/>
      <c r="AC5" s="39"/>
    </row>
    <row r="6" spans="1:29" ht="19.5" customHeight="1" x14ac:dyDescent="0.3">
      <c r="A6" s="33"/>
      <c r="B6" s="33"/>
      <c r="C6" s="33"/>
      <c r="D6" s="33"/>
      <c r="E6" s="33"/>
      <c r="F6" s="33"/>
      <c r="G6" s="33"/>
      <c r="H6" s="33"/>
      <c r="I6" s="33"/>
      <c r="J6" s="33"/>
      <c r="K6" s="34">
        <f t="shared" si="1"/>
        <v>0</v>
      </c>
      <c r="L6" s="33"/>
      <c r="M6" s="34">
        <f t="shared" si="2"/>
        <v>0</v>
      </c>
      <c r="N6" s="33"/>
      <c r="O6" s="33"/>
      <c r="P6" s="33"/>
      <c r="Q6" s="33"/>
      <c r="R6" s="33"/>
      <c r="S6" s="35">
        <f t="shared" si="3"/>
        <v>0</v>
      </c>
      <c r="T6" s="36">
        <f t="shared" si="4"/>
        <v>0</v>
      </c>
      <c r="U6" s="36">
        <f t="shared" si="5"/>
        <v>0</v>
      </c>
      <c r="V6" s="36">
        <f t="shared" si="6"/>
        <v>0</v>
      </c>
      <c r="W6" s="37" t="str">
        <f t="shared" si="0"/>
        <v/>
      </c>
      <c r="X6" s="33"/>
      <c r="Y6" s="33"/>
      <c r="Z6" s="34">
        <f t="shared" si="7"/>
        <v>0</v>
      </c>
      <c r="AA6" s="38" t="str">
        <f t="shared" si="8"/>
        <v>LOSS</v>
      </c>
      <c r="AB6" s="33"/>
      <c r="AC6" s="33"/>
    </row>
    <row r="7" spans="1:29" ht="19.5" customHeight="1" x14ac:dyDescent="0.3">
      <c r="A7" s="39"/>
      <c r="B7" s="39"/>
      <c r="C7" s="39"/>
      <c r="D7" s="39"/>
      <c r="E7" s="39"/>
      <c r="F7" s="39"/>
      <c r="G7" s="39"/>
      <c r="H7" s="39"/>
      <c r="I7" s="39"/>
      <c r="J7" s="39"/>
      <c r="K7" s="29">
        <f t="shared" si="1"/>
        <v>0</v>
      </c>
      <c r="L7" s="39"/>
      <c r="M7" s="29">
        <f t="shared" si="2"/>
        <v>0</v>
      </c>
      <c r="N7" s="39"/>
      <c r="O7" s="39"/>
      <c r="P7" s="39"/>
      <c r="Q7" s="39"/>
      <c r="R7" s="39"/>
      <c r="S7" s="30">
        <f t="shared" si="3"/>
        <v>0</v>
      </c>
      <c r="T7" s="31">
        <f t="shared" si="4"/>
        <v>0</v>
      </c>
      <c r="U7" s="31">
        <f t="shared" si="5"/>
        <v>0</v>
      </c>
      <c r="V7" s="31">
        <f t="shared" si="6"/>
        <v>0</v>
      </c>
      <c r="W7" s="32" t="str">
        <f t="shared" si="0"/>
        <v/>
      </c>
      <c r="X7" s="39"/>
      <c r="Y7" s="39"/>
      <c r="Z7" s="29">
        <f t="shared" si="7"/>
        <v>0</v>
      </c>
      <c r="AA7" s="28" t="str">
        <f t="shared" si="8"/>
        <v>LOSS</v>
      </c>
      <c r="AB7" s="39"/>
      <c r="AC7" s="39"/>
    </row>
    <row r="8" spans="1:29" ht="19.5" customHeight="1" x14ac:dyDescent="0.3">
      <c r="A8" s="33"/>
      <c r="B8" s="33"/>
      <c r="C8" s="33"/>
      <c r="D8" s="33"/>
      <c r="E8" s="33"/>
      <c r="F8" s="33"/>
      <c r="G8" s="33"/>
      <c r="H8" s="33"/>
      <c r="I8" s="33"/>
      <c r="J8" s="33"/>
      <c r="K8" s="34">
        <f t="shared" si="1"/>
        <v>0</v>
      </c>
      <c r="L8" s="33"/>
      <c r="M8" s="34">
        <f t="shared" si="2"/>
        <v>0</v>
      </c>
      <c r="N8" s="33"/>
      <c r="O8" s="33"/>
      <c r="P8" s="33"/>
      <c r="Q8" s="33"/>
      <c r="R8" s="33"/>
      <c r="S8" s="35">
        <f t="shared" si="3"/>
        <v>0</v>
      </c>
      <c r="T8" s="36">
        <f t="shared" si="4"/>
        <v>0</v>
      </c>
      <c r="U8" s="36">
        <f t="shared" si="5"/>
        <v>0</v>
      </c>
      <c r="V8" s="36">
        <f t="shared" si="6"/>
        <v>0</v>
      </c>
      <c r="W8" s="37" t="str">
        <f t="shared" si="0"/>
        <v/>
      </c>
      <c r="X8" s="33"/>
      <c r="Y8" s="33"/>
      <c r="Z8" s="34">
        <f t="shared" si="7"/>
        <v>0</v>
      </c>
      <c r="AA8" s="38" t="str">
        <f t="shared" si="8"/>
        <v>LOSS</v>
      </c>
      <c r="AB8" s="33"/>
      <c r="AC8" s="33"/>
    </row>
    <row r="9" spans="1:29" ht="19.5" customHeight="1" x14ac:dyDescent="0.3">
      <c r="A9" s="39"/>
      <c r="B9" s="39"/>
      <c r="C9" s="39"/>
      <c r="D9" s="39"/>
      <c r="E9" s="39"/>
      <c r="F9" s="39"/>
      <c r="G9" s="39"/>
      <c r="H9" s="39"/>
      <c r="I9" s="39"/>
      <c r="J9" s="39"/>
      <c r="K9" s="29">
        <f t="shared" si="1"/>
        <v>0</v>
      </c>
      <c r="L9" s="39"/>
      <c r="M9" s="29">
        <f t="shared" si="2"/>
        <v>0</v>
      </c>
      <c r="N9" s="39"/>
      <c r="O9" s="39"/>
      <c r="P9" s="39"/>
      <c r="Q9" s="39"/>
      <c r="R9" s="39"/>
      <c r="S9" s="30">
        <f t="shared" si="3"/>
        <v>0</v>
      </c>
      <c r="T9" s="31">
        <f t="shared" si="4"/>
        <v>0</v>
      </c>
      <c r="U9" s="31">
        <f t="shared" si="5"/>
        <v>0</v>
      </c>
      <c r="V9" s="31">
        <f t="shared" si="6"/>
        <v>0</v>
      </c>
      <c r="W9" s="32" t="str">
        <f t="shared" si="0"/>
        <v/>
      </c>
      <c r="X9" s="39"/>
      <c r="Y9" s="39"/>
      <c r="Z9" s="29">
        <f t="shared" si="7"/>
        <v>0</v>
      </c>
      <c r="AA9" s="28" t="str">
        <f t="shared" si="8"/>
        <v>LOSS</v>
      </c>
      <c r="AB9" s="39"/>
      <c r="AC9" s="39"/>
    </row>
    <row r="10" spans="1:29" ht="19.5" customHeight="1" x14ac:dyDescent="0.3">
      <c r="A10" s="33"/>
      <c r="B10" s="33"/>
      <c r="C10" s="33"/>
      <c r="D10" s="33"/>
      <c r="E10" s="33"/>
      <c r="F10" s="33"/>
      <c r="G10" s="33"/>
      <c r="H10" s="33"/>
      <c r="I10" s="33"/>
      <c r="J10" s="33"/>
      <c r="K10" s="34">
        <f t="shared" si="1"/>
        <v>0</v>
      </c>
      <c r="L10" s="33"/>
      <c r="M10" s="34">
        <f t="shared" si="2"/>
        <v>0</v>
      </c>
      <c r="N10" s="33"/>
      <c r="O10" s="33"/>
      <c r="P10" s="33"/>
      <c r="Q10" s="33"/>
      <c r="R10" s="33"/>
      <c r="S10" s="35">
        <f t="shared" si="3"/>
        <v>0</v>
      </c>
      <c r="T10" s="36">
        <f t="shared" si="4"/>
        <v>0</v>
      </c>
      <c r="U10" s="36">
        <f t="shared" si="5"/>
        <v>0</v>
      </c>
      <c r="V10" s="36">
        <f t="shared" si="6"/>
        <v>0</v>
      </c>
      <c r="W10" s="37" t="str">
        <f t="shared" si="0"/>
        <v/>
      </c>
      <c r="X10" s="33"/>
      <c r="Y10" s="33"/>
      <c r="Z10" s="34">
        <f t="shared" si="7"/>
        <v>0</v>
      </c>
      <c r="AA10" s="38" t="str">
        <f t="shared" si="8"/>
        <v>LOSS</v>
      </c>
      <c r="AB10" s="33"/>
      <c r="AC10" s="33"/>
    </row>
    <row r="11" spans="1:29" ht="19.5" customHeight="1" x14ac:dyDescent="0.3">
      <c r="A11" s="39"/>
      <c r="B11" s="39"/>
      <c r="C11" s="39"/>
      <c r="D11" s="39"/>
      <c r="E11" s="39"/>
      <c r="F11" s="39"/>
      <c r="G11" s="39"/>
      <c r="H11" s="39"/>
      <c r="I11" s="39"/>
      <c r="J11" s="39"/>
      <c r="K11" s="29">
        <f t="shared" si="1"/>
        <v>0</v>
      </c>
      <c r="L11" s="39"/>
      <c r="M11" s="29">
        <f t="shared" si="2"/>
        <v>0</v>
      </c>
      <c r="N11" s="39"/>
      <c r="O11" s="39"/>
      <c r="P11" s="39"/>
      <c r="Q11" s="39"/>
      <c r="R11" s="39"/>
      <c r="S11" s="30">
        <f t="shared" si="3"/>
        <v>0</v>
      </c>
      <c r="T11" s="31">
        <f t="shared" si="4"/>
        <v>0</v>
      </c>
      <c r="U11" s="31">
        <f t="shared" si="5"/>
        <v>0</v>
      </c>
      <c r="V11" s="31">
        <f t="shared" si="6"/>
        <v>0</v>
      </c>
      <c r="W11" s="32" t="str">
        <f t="shared" si="0"/>
        <v/>
      </c>
      <c r="X11" s="39"/>
      <c r="Y11" s="39"/>
      <c r="Z11" s="29">
        <f t="shared" si="7"/>
        <v>0</v>
      </c>
      <c r="AA11" s="28" t="str">
        <f t="shared" si="8"/>
        <v>LOSS</v>
      </c>
      <c r="AB11" s="39"/>
      <c r="AC11" s="39"/>
    </row>
    <row r="12" spans="1:29" ht="19.5" customHeight="1" x14ac:dyDescent="0.3">
      <c r="A12" s="33"/>
      <c r="B12" s="33"/>
      <c r="C12" s="33"/>
      <c r="D12" s="33"/>
      <c r="E12" s="33"/>
      <c r="F12" s="33"/>
      <c r="G12" s="33"/>
      <c r="H12" s="33"/>
      <c r="I12" s="33"/>
      <c r="J12" s="33"/>
      <c r="K12" s="34">
        <f t="shared" si="1"/>
        <v>0</v>
      </c>
      <c r="L12" s="33"/>
      <c r="M12" s="34">
        <f t="shared" si="2"/>
        <v>0</v>
      </c>
      <c r="N12" s="33"/>
      <c r="O12" s="33"/>
      <c r="P12" s="33"/>
      <c r="Q12" s="33"/>
      <c r="R12" s="33"/>
      <c r="S12" s="35">
        <f t="shared" si="3"/>
        <v>0</v>
      </c>
      <c r="T12" s="36">
        <f t="shared" si="4"/>
        <v>0</v>
      </c>
      <c r="U12" s="36">
        <f t="shared" si="5"/>
        <v>0</v>
      </c>
      <c r="V12" s="36">
        <f t="shared" si="6"/>
        <v>0</v>
      </c>
      <c r="W12" s="37" t="str">
        <f t="shared" si="0"/>
        <v/>
      </c>
      <c r="X12" s="33"/>
      <c r="Y12" s="33"/>
      <c r="Z12" s="34">
        <f t="shared" si="7"/>
        <v>0</v>
      </c>
      <c r="AA12" s="38" t="str">
        <f t="shared" si="8"/>
        <v>LOSS</v>
      </c>
      <c r="AB12" s="33"/>
      <c r="AC12" s="33"/>
    </row>
    <row r="13" spans="1:29" ht="19.5" customHeight="1" x14ac:dyDescent="0.3">
      <c r="A13" s="39"/>
      <c r="B13" s="39"/>
      <c r="C13" s="39"/>
      <c r="D13" s="39"/>
      <c r="E13" s="39"/>
      <c r="F13" s="39"/>
      <c r="G13" s="39"/>
      <c r="H13" s="39"/>
      <c r="I13" s="39"/>
      <c r="J13" s="39"/>
      <c r="K13" s="29">
        <f t="shared" si="1"/>
        <v>0</v>
      </c>
      <c r="L13" s="39"/>
      <c r="M13" s="29">
        <f t="shared" si="2"/>
        <v>0</v>
      </c>
      <c r="N13" s="39"/>
      <c r="O13" s="39"/>
      <c r="P13" s="39"/>
      <c r="Q13" s="39"/>
      <c r="R13" s="39"/>
      <c r="S13" s="30">
        <f t="shared" si="3"/>
        <v>0</v>
      </c>
      <c r="T13" s="31">
        <f t="shared" si="4"/>
        <v>0</v>
      </c>
      <c r="U13" s="31">
        <f t="shared" si="5"/>
        <v>0</v>
      </c>
      <c r="V13" s="31">
        <f t="shared" si="6"/>
        <v>0</v>
      </c>
      <c r="W13" s="32" t="str">
        <f t="shared" si="0"/>
        <v/>
      </c>
      <c r="X13" s="39"/>
      <c r="Y13" s="39"/>
      <c r="Z13" s="29">
        <f t="shared" si="7"/>
        <v>0</v>
      </c>
      <c r="AA13" s="28" t="str">
        <f t="shared" si="8"/>
        <v>LOSS</v>
      </c>
      <c r="AB13" s="39"/>
      <c r="AC13" s="39"/>
    </row>
    <row r="14" spans="1:29" ht="19.5" customHeight="1" x14ac:dyDescent="0.3">
      <c r="A14" s="33"/>
      <c r="B14" s="33"/>
      <c r="C14" s="33"/>
      <c r="D14" s="33"/>
      <c r="E14" s="33"/>
      <c r="F14" s="33"/>
      <c r="G14" s="33"/>
      <c r="H14" s="33"/>
      <c r="I14" s="33"/>
      <c r="J14" s="33"/>
      <c r="K14" s="34">
        <f t="shared" si="1"/>
        <v>0</v>
      </c>
      <c r="L14" s="33"/>
      <c r="M14" s="34">
        <f t="shared" si="2"/>
        <v>0</v>
      </c>
      <c r="N14" s="33"/>
      <c r="O14" s="33"/>
      <c r="P14" s="33"/>
      <c r="Q14" s="33"/>
      <c r="R14" s="33"/>
      <c r="S14" s="35">
        <f t="shared" si="3"/>
        <v>0</v>
      </c>
      <c r="T14" s="36">
        <f t="shared" si="4"/>
        <v>0</v>
      </c>
      <c r="U14" s="36">
        <f t="shared" si="5"/>
        <v>0</v>
      </c>
      <c r="V14" s="36">
        <f t="shared" si="6"/>
        <v>0</v>
      </c>
      <c r="W14" s="37" t="str">
        <f t="shared" si="0"/>
        <v/>
      </c>
      <c r="X14" s="33"/>
      <c r="Y14" s="33"/>
      <c r="Z14" s="34">
        <f t="shared" si="7"/>
        <v>0</v>
      </c>
      <c r="AA14" s="38" t="str">
        <f t="shared" si="8"/>
        <v>LOSS</v>
      </c>
      <c r="AB14" s="33"/>
      <c r="AC14" s="33"/>
    </row>
    <row r="15" spans="1:29" ht="19.5" customHeight="1" x14ac:dyDescent="0.3">
      <c r="A15" s="39"/>
      <c r="B15" s="39"/>
      <c r="C15" s="39"/>
      <c r="D15" s="39"/>
      <c r="E15" s="39"/>
      <c r="F15" s="39"/>
      <c r="G15" s="39"/>
      <c r="H15" s="39"/>
      <c r="I15" s="39"/>
      <c r="J15" s="39"/>
      <c r="K15" s="29">
        <f t="shared" si="1"/>
        <v>0</v>
      </c>
      <c r="L15" s="39"/>
      <c r="M15" s="29">
        <f t="shared" si="2"/>
        <v>0</v>
      </c>
      <c r="N15" s="39"/>
      <c r="O15" s="39"/>
      <c r="P15" s="39"/>
      <c r="Q15" s="39"/>
      <c r="R15" s="39"/>
      <c r="S15" s="30">
        <f t="shared" si="3"/>
        <v>0</v>
      </c>
      <c r="T15" s="31">
        <f t="shared" si="4"/>
        <v>0</v>
      </c>
      <c r="U15" s="31">
        <f t="shared" si="5"/>
        <v>0</v>
      </c>
      <c r="V15" s="31">
        <f t="shared" si="6"/>
        <v>0</v>
      </c>
      <c r="W15" s="32" t="str">
        <f t="shared" si="0"/>
        <v/>
      </c>
      <c r="X15" s="39"/>
      <c r="Y15" s="39"/>
      <c r="Z15" s="29">
        <f t="shared" si="7"/>
        <v>0</v>
      </c>
      <c r="AA15" s="28" t="str">
        <f t="shared" si="8"/>
        <v>LOSS</v>
      </c>
      <c r="AB15" s="39"/>
      <c r="AC15" s="39"/>
    </row>
    <row r="16" spans="1:29" ht="19.5" customHeight="1" x14ac:dyDescent="0.3">
      <c r="A16" s="33"/>
      <c r="B16" s="33"/>
      <c r="C16" s="33"/>
      <c r="D16" s="33"/>
      <c r="E16" s="33"/>
      <c r="F16" s="33"/>
      <c r="G16" s="33"/>
      <c r="H16" s="33"/>
      <c r="I16" s="33"/>
      <c r="J16" s="33"/>
      <c r="K16" s="34">
        <f t="shared" si="1"/>
        <v>0</v>
      </c>
      <c r="L16" s="33"/>
      <c r="M16" s="34">
        <f t="shared" si="2"/>
        <v>0</v>
      </c>
      <c r="N16" s="33"/>
      <c r="O16" s="33"/>
      <c r="P16" s="33"/>
      <c r="Q16" s="33"/>
      <c r="R16" s="33"/>
      <c r="S16" s="35">
        <f t="shared" si="3"/>
        <v>0</v>
      </c>
      <c r="T16" s="36">
        <f t="shared" si="4"/>
        <v>0</v>
      </c>
      <c r="U16" s="36">
        <f t="shared" si="5"/>
        <v>0</v>
      </c>
      <c r="V16" s="36">
        <f t="shared" si="6"/>
        <v>0</v>
      </c>
      <c r="W16" s="37" t="str">
        <f t="shared" si="0"/>
        <v/>
      </c>
      <c r="X16" s="33"/>
      <c r="Y16" s="33"/>
      <c r="Z16" s="34">
        <f t="shared" si="7"/>
        <v>0</v>
      </c>
      <c r="AA16" s="38" t="str">
        <f t="shared" si="8"/>
        <v>LOSS</v>
      </c>
      <c r="AB16" s="33"/>
      <c r="AC16" s="33"/>
    </row>
    <row r="17" spans="1:29" ht="19.5" customHeight="1" x14ac:dyDescent="0.3">
      <c r="A17" s="39"/>
      <c r="B17" s="39"/>
      <c r="C17" s="39"/>
      <c r="D17" s="39"/>
      <c r="E17" s="39"/>
      <c r="F17" s="39"/>
      <c r="G17" s="39"/>
      <c r="H17" s="39"/>
      <c r="I17" s="39"/>
      <c r="J17" s="39"/>
      <c r="K17" s="29">
        <f t="shared" si="1"/>
        <v>0</v>
      </c>
      <c r="L17" s="39"/>
      <c r="M17" s="29">
        <f t="shared" si="2"/>
        <v>0</v>
      </c>
      <c r="N17" s="39"/>
      <c r="O17" s="39"/>
      <c r="P17" s="39"/>
      <c r="Q17" s="39"/>
      <c r="R17" s="39"/>
      <c r="S17" s="30">
        <f t="shared" si="3"/>
        <v>0</v>
      </c>
      <c r="T17" s="31">
        <f t="shared" si="4"/>
        <v>0</v>
      </c>
      <c r="U17" s="31">
        <f t="shared" si="5"/>
        <v>0</v>
      </c>
      <c r="V17" s="31">
        <f t="shared" si="6"/>
        <v>0</v>
      </c>
      <c r="W17" s="32" t="str">
        <f t="shared" si="0"/>
        <v/>
      </c>
      <c r="X17" s="39"/>
      <c r="Y17" s="39"/>
      <c r="Z17" s="29">
        <f t="shared" si="7"/>
        <v>0</v>
      </c>
      <c r="AA17" s="28" t="str">
        <f t="shared" si="8"/>
        <v>LOSS</v>
      </c>
      <c r="AB17" s="39"/>
      <c r="AC17" s="39"/>
    </row>
    <row r="18" spans="1:29" ht="19.5" customHeight="1" x14ac:dyDescent="0.3">
      <c r="A18" s="33"/>
      <c r="B18" s="33"/>
      <c r="C18" s="33"/>
      <c r="D18" s="33"/>
      <c r="E18" s="33"/>
      <c r="F18" s="33"/>
      <c r="G18" s="33"/>
      <c r="H18" s="33"/>
      <c r="I18" s="33"/>
      <c r="J18" s="33"/>
      <c r="K18" s="34">
        <f t="shared" si="1"/>
        <v>0</v>
      </c>
      <c r="L18" s="33"/>
      <c r="M18" s="34">
        <f t="shared" si="2"/>
        <v>0</v>
      </c>
      <c r="N18" s="33"/>
      <c r="O18" s="33"/>
      <c r="P18" s="33"/>
      <c r="Q18" s="33"/>
      <c r="R18" s="33"/>
      <c r="S18" s="35">
        <f t="shared" si="3"/>
        <v>0</v>
      </c>
      <c r="T18" s="36">
        <f t="shared" si="4"/>
        <v>0</v>
      </c>
      <c r="U18" s="36">
        <f t="shared" si="5"/>
        <v>0</v>
      </c>
      <c r="V18" s="36">
        <f t="shared" si="6"/>
        <v>0</v>
      </c>
      <c r="W18" s="37" t="str">
        <f t="shared" si="0"/>
        <v/>
      </c>
      <c r="X18" s="33"/>
      <c r="Y18" s="33"/>
      <c r="Z18" s="34">
        <f t="shared" si="7"/>
        <v>0</v>
      </c>
      <c r="AA18" s="38" t="str">
        <f t="shared" si="8"/>
        <v>LOSS</v>
      </c>
      <c r="AB18" s="33"/>
      <c r="AC18" s="33"/>
    </row>
    <row r="19" spans="1:29" ht="19.5" customHeight="1" x14ac:dyDescent="0.3">
      <c r="A19" s="39"/>
      <c r="B19" s="39"/>
      <c r="C19" s="39"/>
      <c r="D19" s="39"/>
      <c r="E19" s="39"/>
      <c r="F19" s="39"/>
      <c r="G19" s="39"/>
      <c r="H19" s="39"/>
      <c r="I19" s="39"/>
      <c r="J19" s="39"/>
      <c r="K19" s="29">
        <f t="shared" si="1"/>
        <v>0</v>
      </c>
      <c r="L19" s="39"/>
      <c r="M19" s="29">
        <f t="shared" si="2"/>
        <v>0</v>
      </c>
      <c r="N19" s="39"/>
      <c r="O19" s="39"/>
      <c r="P19" s="39"/>
      <c r="Q19" s="39"/>
      <c r="R19" s="39"/>
      <c r="S19" s="30">
        <f t="shared" si="3"/>
        <v>0</v>
      </c>
      <c r="T19" s="31">
        <f t="shared" si="4"/>
        <v>0</v>
      </c>
      <c r="U19" s="31">
        <f t="shared" si="5"/>
        <v>0</v>
      </c>
      <c r="V19" s="31">
        <f t="shared" si="6"/>
        <v>0</v>
      </c>
      <c r="W19" s="32" t="str">
        <f t="shared" si="0"/>
        <v/>
      </c>
      <c r="X19" s="39"/>
      <c r="Y19" s="39"/>
      <c r="Z19" s="29">
        <f t="shared" si="7"/>
        <v>0</v>
      </c>
      <c r="AA19" s="28" t="str">
        <f t="shared" si="8"/>
        <v>LOSS</v>
      </c>
      <c r="AB19" s="39"/>
      <c r="AC19" s="39"/>
    </row>
    <row r="20" spans="1:29" ht="19.5" customHeight="1" x14ac:dyDescent="0.3">
      <c r="A20" s="33"/>
      <c r="B20" s="33"/>
      <c r="C20" s="33"/>
      <c r="D20" s="33"/>
      <c r="E20" s="33"/>
      <c r="F20" s="33"/>
      <c r="G20" s="33"/>
      <c r="H20" s="33"/>
      <c r="I20" s="33"/>
      <c r="J20" s="33"/>
      <c r="K20" s="34">
        <f t="shared" si="1"/>
        <v>0</v>
      </c>
      <c r="L20" s="33"/>
      <c r="M20" s="34">
        <f t="shared" si="2"/>
        <v>0</v>
      </c>
      <c r="N20" s="33"/>
      <c r="O20" s="33"/>
      <c r="P20" s="33"/>
      <c r="Q20" s="33"/>
      <c r="R20" s="33"/>
      <c r="S20" s="35">
        <f t="shared" si="3"/>
        <v>0</v>
      </c>
      <c r="T20" s="36">
        <f t="shared" si="4"/>
        <v>0</v>
      </c>
      <c r="U20" s="36">
        <f t="shared" si="5"/>
        <v>0</v>
      </c>
      <c r="V20" s="36">
        <f t="shared" si="6"/>
        <v>0</v>
      </c>
      <c r="W20" s="37" t="str">
        <f t="shared" si="0"/>
        <v/>
      </c>
      <c r="X20" s="33"/>
      <c r="Y20" s="33"/>
      <c r="Z20" s="34">
        <f t="shared" si="7"/>
        <v>0</v>
      </c>
      <c r="AA20" s="38" t="str">
        <f t="shared" si="8"/>
        <v>LOSS</v>
      </c>
      <c r="AB20" s="33"/>
      <c r="AC20" s="33"/>
    </row>
    <row r="21" spans="1:29" ht="19.5" customHeight="1" x14ac:dyDescent="0.3">
      <c r="A21" s="39"/>
      <c r="B21" s="39"/>
      <c r="C21" s="39"/>
      <c r="D21" s="39"/>
      <c r="E21" s="39"/>
      <c r="F21" s="39"/>
      <c r="G21" s="39"/>
      <c r="H21" s="39"/>
      <c r="I21" s="39"/>
      <c r="J21" s="39"/>
      <c r="K21" s="29">
        <f t="shared" si="1"/>
        <v>0</v>
      </c>
      <c r="L21" s="39"/>
      <c r="M21" s="29">
        <f t="shared" si="2"/>
        <v>0</v>
      </c>
      <c r="N21" s="39"/>
      <c r="O21" s="39"/>
      <c r="P21" s="39"/>
      <c r="Q21" s="39"/>
      <c r="R21" s="39"/>
      <c r="S21" s="30">
        <f t="shared" si="3"/>
        <v>0</v>
      </c>
      <c r="T21" s="31">
        <f t="shared" si="4"/>
        <v>0</v>
      </c>
      <c r="U21" s="31">
        <f t="shared" si="5"/>
        <v>0</v>
      </c>
      <c r="V21" s="31">
        <f t="shared" si="6"/>
        <v>0</v>
      </c>
      <c r="W21" s="32" t="str">
        <f t="shared" si="0"/>
        <v/>
      </c>
      <c r="X21" s="39"/>
      <c r="Y21" s="39"/>
      <c r="Z21" s="29">
        <f t="shared" si="7"/>
        <v>0</v>
      </c>
      <c r="AA21" s="28" t="str">
        <f t="shared" si="8"/>
        <v>LOSS</v>
      </c>
      <c r="AB21" s="39"/>
      <c r="AC21" s="39"/>
    </row>
    <row r="22" spans="1:29" ht="19.5" customHeight="1" x14ac:dyDescent="0.3">
      <c r="A22" s="33"/>
      <c r="B22" s="33"/>
      <c r="C22" s="33"/>
      <c r="D22" s="33"/>
      <c r="E22" s="33"/>
      <c r="F22" s="33"/>
      <c r="G22" s="33"/>
      <c r="H22" s="33"/>
      <c r="I22" s="33"/>
      <c r="J22" s="33"/>
      <c r="K22" s="34">
        <f t="shared" si="1"/>
        <v>0</v>
      </c>
      <c r="L22" s="33"/>
      <c r="M22" s="34">
        <f t="shared" si="2"/>
        <v>0</v>
      </c>
      <c r="N22" s="33"/>
      <c r="O22" s="33"/>
      <c r="P22" s="33"/>
      <c r="Q22" s="33"/>
      <c r="R22" s="33"/>
      <c r="S22" s="35">
        <f t="shared" si="3"/>
        <v>0</v>
      </c>
      <c r="T22" s="36">
        <f t="shared" si="4"/>
        <v>0</v>
      </c>
      <c r="U22" s="36">
        <f t="shared" si="5"/>
        <v>0</v>
      </c>
      <c r="V22" s="36">
        <f t="shared" si="6"/>
        <v>0</v>
      </c>
      <c r="W22" s="37" t="str">
        <f t="shared" si="0"/>
        <v/>
      </c>
      <c r="X22" s="33"/>
      <c r="Y22" s="33"/>
      <c r="Z22" s="34">
        <f t="shared" si="7"/>
        <v>0</v>
      </c>
      <c r="AA22" s="38" t="str">
        <f t="shared" si="8"/>
        <v>LOSS</v>
      </c>
      <c r="AB22" s="33"/>
      <c r="AC22" s="33"/>
    </row>
    <row r="23" spans="1:29" ht="19.5" customHeight="1" x14ac:dyDescent="0.3">
      <c r="A23" s="39"/>
      <c r="B23" s="39"/>
      <c r="C23" s="39"/>
      <c r="D23" s="39"/>
      <c r="E23" s="39"/>
      <c r="F23" s="39"/>
      <c r="G23" s="39"/>
      <c r="H23" s="39"/>
      <c r="I23" s="39"/>
      <c r="J23" s="39"/>
      <c r="K23" s="29">
        <f t="shared" si="1"/>
        <v>0</v>
      </c>
      <c r="L23" s="39"/>
      <c r="M23" s="29">
        <f t="shared" si="2"/>
        <v>0</v>
      </c>
      <c r="N23" s="39"/>
      <c r="O23" s="39"/>
      <c r="P23" s="39"/>
      <c r="Q23" s="39"/>
      <c r="R23" s="39"/>
      <c r="S23" s="30">
        <f t="shared" si="3"/>
        <v>0</v>
      </c>
      <c r="T23" s="31">
        <f t="shared" si="4"/>
        <v>0</v>
      </c>
      <c r="U23" s="31">
        <f t="shared" si="5"/>
        <v>0</v>
      </c>
      <c r="V23" s="31">
        <f t="shared" si="6"/>
        <v>0</v>
      </c>
      <c r="W23" s="32" t="str">
        <f t="shared" si="0"/>
        <v/>
      </c>
      <c r="X23" s="39"/>
      <c r="Y23" s="39"/>
      <c r="Z23" s="29">
        <f t="shared" si="7"/>
        <v>0</v>
      </c>
      <c r="AA23" s="28" t="str">
        <f t="shared" si="8"/>
        <v>LOSS</v>
      </c>
      <c r="AB23" s="39"/>
      <c r="AC23" s="39"/>
    </row>
    <row r="24" spans="1:29" ht="19.5" customHeight="1" x14ac:dyDescent="0.3">
      <c r="A24" s="33"/>
      <c r="B24" s="33"/>
      <c r="C24" s="33"/>
      <c r="D24" s="33"/>
      <c r="E24" s="33"/>
      <c r="F24" s="33"/>
      <c r="G24" s="33"/>
      <c r="H24" s="33"/>
      <c r="I24" s="33"/>
      <c r="J24" s="33"/>
      <c r="K24" s="34">
        <f t="shared" si="1"/>
        <v>0</v>
      </c>
      <c r="L24" s="33"/>
      <c r="M24" s="34">
        <f t="shared" si="2"/>
        <v>0</v>
      </c>
      <c r="N24" s="33"/>
      <c r="O24" s="33"/>
      <c r="P24" s="33"/>
      <c r="Q24" s="33"/>
      <c r="R24" s="33"/>
      <c r="S24" s="35">
        <f t="shared" si="3"/>
        <v>0</v>
      </c>
      <c r="T24" s="36">
        <f t="shared" si="4"/>
        <v>0</v>
      </c>
      <c r="U24" s="36">
        <f t="shared" si="5"/>
        <v>0</v>
      </c>
      <c r="V24" s="36">
        <f t="shared" si="6"/>
        <v>0</v>
      </c>
      <c r="W24" s="37" t="str">
        <f t="shared" si="0"/>
        <v/>
      </c>
      <c r="X24" s="33"/>
      <c r="Y24" s="33"/>
      <c r="Z24" s="34">
        <f t="shared" si="7"/>
        <v>0</v>
      </c>
      <c r="AA24" s="38" t="str">
        <f t="shared" si="8"/>
        <v>LOSS</v>
      </c>
      <c r="AB24" s="33"/>
      <c r="AC24" s="33"/>
    </row>
    <row r="25" spans="1:29" ht="19.5" customHeight="1" x14ac:dyDescent="0.3">
      <c r="A25" s="39"/>
      <c r="B25" s="39"/>
      <c r="C25" s="39"/>
      <c r="D25" s="39"/>
      <c r="E25" s="39"/>
      <c r="F25" s="39"/>
      <c r="G25" s="39"/>
      <c r="H25" s="39"/>
      <c r="I25" s="39"/>
      <c r="J25" s="39"/>
      <c r="K25" s="29">
        <f t="shared" si="1"/>
        <v>0</v>
      </c>
      <c r="L25" s="39"/>
      <c r="M25" s="29">
        <f t="shared" si="2"/>
        <v>0</v>
      </c>
      <c r="N25" s="39"/>
      <c r="O25" s="39"/>
      <c r="P25" s="39"/>
      <c r="Q25" s="39"/>
      <c r="R25" s="39"/>
      <c r="S25" s="30">
        <f t="shared" si="3"/>
        <v>0</v>
      </c>
      <c r="T25" s="31">
        <f t="shared" si="4"/>
        <v>0</v>
      </c>
      <c r="U25" s="31">
        <f t="shared" si="5"/>
        <v>0</v>
      </c>
      <c r="V25" s="31">
        <f t="shared" si="6"/>
        <v>0</v>
      </c>
      <c r="W25" s="32" t="str">
        <f t="shared" si="0"/>
        <v/>
      </c>
      <c r="X25" s="39"/>
      <c r="Y25" s="39"/>
      <c r="Z25" s="29">
        <f t="shared" si="7"/>
        <v>0</v>
      </c>
      <c r="AA25" s="28" t="str">
        <f t="shared" si="8"/>
        <v>LOSS</v>
      </c>
      <c r="AB25" s="39"/>
      <c r="AC25" s="39"/>
    </row>
    <row r="26" spans="1:29" ht="19.5" customHeight="1" x14ac:dyDescent="0.3">
      <c r="A26" s="33"/>
      <c r="B26" s="33"/>
      <c r="C26" s="33"/>
      <c r="D26" s="33"/>
      <c r="E26" s="33"/>
      <c r="F26" s="33"/>
      <c r="G26" s="33"/>
      <c r="H26" s="33"/>
      <c r="I26" s="33"/>
      <c r="J26" s="33"/>
      <c r="K26" s="34">
        <f t="shared" si="1"/>
        <v>0</v>
      </c>
      <c r="L26" s="33"/>
      <c r="M26" s="34">
        <f t="shared" si="2"/>
        <v>0</v>
      </c>
      <c r="N26" s="33"/>
      <c r="O26" s="33"/>
      <c r="P26" s="33"/>
      <c r="Q26" s="33"/>
      <c r="R26" s="33"/>
      <c r="S26" s="35">
        <f t="shared" si="3"/>
        <v>0</v>
      </c>
      <c r="T26" s="36">
        <f t="shared" si="4"/>
        <v>0</v>
      </c>
      <c r="U26" s="36">
        <f t="shared" si="5"/>
        <v>0</v>
      </c>
      <c r="V26" s="36">
        <f t="shared" si="6"/>
        <v>0</v>
      </c>
      <c r="W26" s="37" t="str">
        <f t="shared" si="0"/>
        <v/>
      </c>
      <c r="X26" s="33"/>
      <c r="Y26" s="33"/>
      <c r="Z26" s="34">
        <f t="shared" si="7"/>
        <v>0</v>
      </c>
      <c r="AA26" s="38" t="str">
        <f t="shared" si="8"/>
        <v>LOSS</v>
      </c>
      <c r="AB26" s="33"/>
      <c r="AC26" s="33"/>
    </row>
    <row r="27" spans="1:29" ht="19.5" customHeight="1" x14ac:dyDescent="0.3">
      <c r="A27" s="39"/>
      <c r="B27" s="39"/>
      <c r="C27" s="39"/>
      <c r="D27" s="39"/>
      <c r="E27" s="39"/>
      <c r="F27" s="39"/>
      <c r="G27" s="39"/>
      <c r="H27" s="39"/>
      <c r="I27" s="39"/>
      <c r="J27" s="39"/>
      <c r="K27" s="29">
        <f t="shared" si="1"/>
        <v>0</v>
      </c>
      <c r="L27" s="39"/>
      <c r="M27" s="29">
        <f t="shared" si="2"/>
        <v>0</v>
      </c>
      <c r="N27" s="39"/>
      <c r="O27" s="39"/>
      <c r="P27" s="39"/>
      <c r="Q27" s="39"/>
      <c r="R27" s="39"/>
      <c r="S27" s="30">
        <f t="shared" si="3"/>
        <v>0</v>
      </c>
      <c r="T27" s="31">
        <f t="shared" si="4"/>
        <v>0</v>
      </c>
      <c r="U27" s="31">
        <f t="shared" si="5"/>
        <v>0</v>
      </c>
      <c r="V27" s="31">
        <f t="shared" si="6"/>
        <v>0</v>
      </c>
      <c r="W27" s="32" t="str">
        <f t="shared" si="0"/>
        <v/>
      </c>
      <c r="X27" s="39"/>
      <c r="Y27" s="39"/>
      <c r="Z27" s="29">
        <f t="shared" si="7"/>
        <v>0</v>
      </c>
      <c r="AA27" s="28" t="str">
        <f t="shared" si="8"/>
        <v>LOSS</v>
      </c>
      <c r="AB27" s="39"/>
      <c r="AC27" s="39"/>
    </row>
    <row r="28" spans="1:29" ht="19.5" customHeight="1" x14ac:dyDescent="0.3">
      <c r="A28" s="33"/>
      <c r="B28" s="33"/>
      <c r="C28" s="33"/>
      <c r="D28" s="33"/>
      <c r="E28" s="33"/>
      <c r="F28" s="33"/>
      <c r="G28" s="33"/>
      <c r="H28" s="33"/>
      <c r="I28" s="33"/>
      <c r="J28" s="33"/>
      <c r="K28" s="34">
        <f t="shared" si="1"/>
        <v>0</v>
      </c>
      <c r="L28" s="33"/>
      <c r="M28" s="34">
        <f t="shared" si="2"/>
        <v>0</v>
      </c>
      <c r="N28" s="33"/>
      <c r="O28" s="33"/>
      <c r="P28" s="33"/>
      <c r="Q28" s="33"/>
      <c r="R28" s="33"/>
      <c r="S28" s="35">
        <f t="shared" si="3"/>
        <v>0</v>
      </c>
      <c r="T28" s="36">
        <f t="shared" si="4"/>
        <v>0</v>
      </c>
      <c r="U28" s="36">
        <f t="shared" si="5"/>
        <v>0</v>
      </c>
      <c r="V28" s="36">
        <f t="shared" si="6"/>
        <v>0</v>
      </c>
      <c r="W28" s="37" t="str">
        <f t="shared" si="0"/>
        <v/>
      </c>
      <c r="X28" s="33"/>
      <c r="Y28" s="33"/>
      <c r="Z28" s="34">
        <f t="shared" si="7"/>
        <v>0</v>
      </c>
      <c r="AA28" s="38" t="str">
        <f t="shared" si="8"/>
        <v>LOSS</v>
      </c>
      <c r="AB28" s="33"/>
      <c r="AC28" s="33"/>
    </row>
    <row r="29" spans="1:29" ht="19.5" customHeight="1" x14ac:dyDescent="0.3">
      <c r="A29" s="39"/>
      <c r="B29" s="39"/>
      <c r="C29" s="39"/>
      <c r="D29" s="39"/>
      <c r="E29" s="39"/>
      <c r="F29" s="39"/>
      <c r="G29" s="39"/>
      <c r="H29" s="39"/>
      <c r="I29" s="39"/>
      <c r="J29" s="39"/>
      <c r="K29" s="29">
        <f t="shared" si="1"/>
        <v>0</v>
      </c>
      <c r="L29" s="39"/>
      <c r="M29" s="29">
        <f t="shared" si="2"/>
        <v>0</v>
      </c>
      <c r="N29" s="39"/>
      <c r="O29" s="39"/>
      <c r="P29" s="39"/>
      <c r="Q29" s="39"/>
      <c r="R29" s="39"/>
      <c r="S29" s="30">
        <f t="shared" si="3"/>
        <v>0</v>
      </c>
      <c r="T29" s="31">
        <f t="shared" si="4"/>
        <v>0</v>
      </c>
      <c r="U29" s="31">
        <f t="shared" si="5"/>
        <v>0</v>
      </c>
      <c r="V29" s="31">
        <f t="shared" si="6"/>
        <v>0</v>
      </c>
      <c r="W29" s="32" t="str">
        <f t="shared" si="0"/>
        <v/>
      </c>
      <c r="X29" s="39"/>
      <c r="Y29" s="39"/>
      <c r="Z29" s="29">
        <f t="shared" si="7"/>
        <v>0</v>
      </c>
      <c r="AA29" s="28" t="str">
        <f t="shared" si="8"/>
        <v>LOSS</v>
      </c>
      <c r="AB29" s="39"/>
      <c r="AC29" s="39"/>
    </row>
    <row r="30" spans="1:29" ht="19.5" customHeight="1" x14ac:dyDescent="0.3">
      <c r="A30" s="33"/>
      <c r="B30" s="33"/>
      <c r="C30" s="33"/>
      <c r="D30" s="33"/>
      <c r="E30" s="33"/>
      <c r="F30" s="33"/>
      <c r="G30" s="33"/>
      <c r="H30" s="33"/>
      <c r="I30" s="33"/>
      <c r="J30" s="33"/>
      <c r="K30" s="34">
        <f t="shared" si="1"/>
        <v>0</v>
      </c>
      <c r="L30" s="33"/>
      <c r="M30" s="34">
        <f t="shared" si="2"/>
        <v>0</v>
      </c>
      <c r="N30" s="33"/>
      <c r="O30" s="33"/>
      <c r="P30" s="33"/>
      <c r="Q30" s="33"/>
      <c r="R30" s="33"/>
      <c r="S30" s="35">
        <f t="shared" si="3"/>
        <v>0</v>
      </c>
      <c r="T30" s="36">
        <f t="shared" si="4"/>
        <v>0</v>
      </c>
      <c r="U30" s="36">
        <f t="shared" si="5"/>
        <v>0</v>
      </c>
      <c r="V30" s="36">
        <f t="shared" si="6"/>
        <v>0</v>
      </c>
      <c r="W30" s="37" t="str">
        <f t="shared" si="0"/>
        <v/>
      </c>
      <c r="X30" s="33"/>
      <c r="Y30" s="33"/>
      <c r="Z30" s="34">
        <f t="shared" si="7"/>
        <v>0</v>
      </c>
      <c r="AA30" s="38" t="str">
        <f t="shared" si="8"/>
        <v>LOSS</v>
      </c>
      <c r="AB30" s="33"/>
      <c r="AC30" s="33"/>
    </row>
    <row r="31" spans="1:29" ht="19.5" customHeight="1" x14ac:dyDescent="0.3">
      <c r="A31" s="39"/>
      <c r="B31" s="39"/>
      <c r="C31" s="39"/>
      <c r="D31" s="39"/>
      <c r="E31" s="39"/>
      <c r="F31" s="39"/>
      <c r="G31" s="39"/>
      <c r="H31" s="39"/>
      <c r="I31" s="39"/>
      <c r="J31" s="39"/>
      <c r="K31" s="29">
        <f t="shared" si="1"/>
        <v>0</v>
      </c>
      <c r="L31" s="39"/>
      <c r="M31" s="29">
        <f t="shared" si="2"/>
        <v>0</v>
      </c>
      <c r="N31" s="39"/>
      <c r="O31" s="39"/>
      <c r="P31" s="39"/>
      <c r="Q31" s="39"/>
      <c r="R31" s="39"/>
      <c r="S31" s="30">
        <f t="shared" si="3"/>
        <v>0</v>
      </c>
      <c r="T31" s="31">
        <f t="shared" si="4"/>
        <v>0</v>
      </c>
      <c r="U31" s="31">
        <f t="shared" si="5"/>
        <v>0</v>
      </c>
      <c r="V31" s="31">
        <f t="shared" si="6"/>
        <v>0</v>
      </c>
      <c r="W31" s="32" t="str">
        <f t="shared" si="0"/>
        <v/>
      </c>
      <c r="X31" s="39"/>
      <c r="Y31" s="39"/>
      <c r="Z31" s="29">
        <f t="shared" si="7"/>
        <v>0</v>
      </c>
      <c r="AA31" s="28" t="str">
        <f t="shared" si="8"/>
        <v>LOSS</v>
      </c>
      <c r="AB31" s="39"/>
      <c r="AC31" s="39"/>
    </row>
    <row r="32" spans="1:29" ht="19.5" customHeight="1" x14ac:dyDescent="0.3">
      <c r="A32" s="33"/>
      <c r="B32" s="33"/>
      <c r="C32" s="33"/>
      <c r="D32" s="33"/>
      <c r="E32" s="33"/>
      <c r="F32" s="33"/>
      <c r="G32" s="33"/>
      <c r="H32" s="33"/>
      <c r="I32" s="33"/>
      <c r="J32" s="33"/>
      <c r="K32" s="34">
        <f t="shared" si="1"/>
        <v>0</v>
      </c>
      <c r="L32" s="33"/>
      <c r="M32" s="34">
        <f t="shared" si="2"/>
        <v>0</v>
      </c>
      <c r="N32" s="33"/>
      <c r="O32" s="33"/>
      <c r="P32" s="33"/>
      <c r="Q32" s="33"/>
      <c r="R32" s="33"/>
      <c r="S32" s="35">
        <f t="shared" si="3"/>
        <v>0</v>
      </c>
      <c r="T32" s="36">
        <f t="shared" si="4"/>
        <v>0</v>
      </c>
      <c r="U32" s="36">
        <f t="shared" si="5"/>
        <v>0</v>
      </c>
      <c r="V32" s="36">
        <f t="shared" si="6"/>
        <v>0</v>
      </c>
      <c r="W32" s="37" t="str">
        <f t="shared" si="0"/>
        <v/>
      </c>
      <c r="X32" s="33"/>
      <c r="Y32" s="33"/>
      <c r="Z32" s="34">
        <f t="shared" si="7"/>
        <v>0</v>
      </c>
      <c r="AA32" s="38" t="str">
        <f t="shared" si="8"/>
        <v>LOSS</v>
      </c>
      <c r="AB32" s="33"/>
      <c r="AC32" s="33"/>
    </row>
    <row r="33" spans="1:29" ht="19.5" customHeight="1" x14ac:dyDescent="0.3">
      <c r="A33" s="39"/>
      <c r="B33" s="39"/>
      <c r="C33" s="39"/>
      <c r="D33" s="39"/>
      <c r="E33" s="39"/>
      <c r="F33" s="39"/>
      <c r="G33" s="39"/>
      <c r="H33" s="39"/>
      <c r="I33" s="39"/>
      <c r="J33" s="39"/>
      <c r="K33" s="29">
        <f t="shared" si="1"/>
        <v>0</v>
      </c>
      <c r="L33" s="39"/>
      <c r="M33" s="29">
        <f t="shared" si="2"/>
        <v>0</v>
      </c>
      <c r="N33" s="39"/>
      <c r="O33" s="39"/>
      <c r="P33" s="39"/>
      <c r="Q33" s="39"/>
      <c r="R33" s="39"/>
      <c r="S33" s="30">
        <f t="shared" si="3"/>
        <v>0</v>
      </c>
      <c r="T33" s="31">
        <f t="shared" si="4"/>
        <v>0</v>
      </c>
      <c r="U33" s="31">
        <f t="shared" si="5"/>
        <v>0</v>
      </c>
      <c r="V33" s="31">
        <f t="shared" si="6"/>
        <v>0</v>
      </c>
      <c r="W33" s="32" t="str">
        <f t="shared" si="0"/>
        <v/>
      </c>
      <c r="X33" s="39"/>
      <c r="Y33" s="39"/>
      <c r="Z33" s="29">
        <f t="shared" si="7"/>
        <v>0</v>
      </c>
      <c r="AA33" s="28" t="str">
        <f t="shared" si="8"/>
        <v>LOSS</v>
      </c>
      <c r="AB33" s="39"/>
      <c r="AC33" s="39"/>
    </row>
    <row r="34" spans="1:29" ht="19.5" customHeight="1" x14ac:dyDescent="0.3">
      <c r="A34" s="33"/>
      <c r="B34" s="33"/>
      <c r="C34" s="33"/>
      <c r="D34" s="33"/>
      <c r="E34" s="33"/>
      <c r="F34" s="33"/>
      <c r="G34" s="33"/>
      <c r="H34" s="33"/>
      <c r="I34" s="33"/>
      <c r="J34" s="33"/>
      <c r="K34" s="34">
        <f t="shared" si="1"/>
        <v>0</v>
      </c>
      <c r="L34" s="33"/>
      <c r="M34" s="34">
        <f t="shared" si="2"/>
        <v>0</v>
      </c>
      <c r="N34" s="33"/>
      <c r="O34" s="33"/>
      <c r="P34" s="33"/>
      <c r="Q34" s="33"/>
      <c r="R34" s="33"/>
      <c r="S34" s="35">
        <f t="shared" si="3"/>
        <v>0</v>
      </c>
      <c r="T34" s="36">
        <f t="shared" si="4"/>
        <v>0</v>
      </c>
      <c r="U34" s="36">
        <f t="shared" si="5"/>
        <v>0</v>
      </c>
      <c r="V34" s="36">
        <f t="shared" si="6"/>
        <v>0</v>
      </c>
      <c r="W34" s="37" t="str">
        <f t="shared" si="0"/>
        <v/>
      </c>
      <c r="X34" s="33"/>
      <c r="Y34" s="33"/>
      <c r="Z34" s="34">
        <f t="shared" si="7"/>
        <v>0</v>
      </c>
      <c r="AA34" s="38" t="str">
        <f t="shared" si="8"/>
        <v>LOSS</v>
      </c>
      <c r="AB34" s="33"/>
      <c r="AC34" s="33"/>
    </row>
    <row r="35" spans="1:29" ht="19.5" customHeight="1" x14ac:dyDescent="0.3">
      <c r="A35" s="39"/>
      <c r="B35" s="39"/>
      <c r="C35" s="39"/>
      <c r="D35" s="39"/>
      <c r="E35" s="39"/>
      <c r="F35" s="39"/>
      <c r="G35" s="39"/>
      <c r="H35" s="39"/>
      <c r="I35" s="39"/>
      <c r="J35" s="39"/>
      <c r="K35" s="29">
        <f t="shared" si="1"/>
        <v>0</v>
      </c>
      <c r="L35" s="39"/>
      <c r="M35" s="29">
        <f t="shared" si="2"/>
        <v>0</v>
      </c>
      <c r="N35" s="39"/>
      <c r="O35" s="39"/>
      <c r="P35" s="39"/>
      <c r="Q35" s="39"/>
      <c r="R35" s="39"/>
      <c r="S35" s="30">
        <f t="shared" si="3"/>
        <v>0</v>
      </c>
      <c r="T35" s="31">
        <f t="shared" si="4"/>
        <v>0</v>
      </c>
      <c r="U35" s="31">
        <f t="shared" si="5"/>
        <v>0</v>
      </c>
      <c r="V35" s="31">
        <f t="shared" si="6"/>
        <v>0</v>
      </c>
      <c r="W35" s="32" t="str">
        <f t="shared" ref="W35:W52" si="9">IFERROR(U35/T35,"")</f>
        <v/>
      </c>
      <c r="X35" s="39"/>
      <c r="Y35" s="39"/>
      <c r="Z35" s="29">
        <f t="shared" si="7"/>
        <v>0</v>
      </c>
      <c r="AA35" s="28" t="str">
        <f t="shared" si="8"/>
        <v>LOSS</v>
      </c>
      <c r="AB35" s="39"/>
      <c r="AC35" s="39"/>
    </row>
    <row r="36" spans="1:29" ht="19.5" customHeight="1" x14ac:dyDescent="0.3">
      <c r="A36" s="33"/>
      <c r="B36" s="33"/>
      <c r="C36" s="33"/>
      <c r="D36" s="33"/>
      <c r="E36" s="33"/>
      <c r="F36" s="33"/>
      <c r="G36" s="33"/>
      <c r="H36" s="33"/>
      <c r="I36" s="33"/>
      <c r="J36" s="33"/>
      <c r="K36" s="34">
        <f t="shared" ref="K36:K67" si="10">IFERROR(I36-J36,"")</f>
        <v>0</v>
      </c>
      <c r="L36" s="33"/>
      <c r="M36" s="34">
        <f t="shared" ref="M36:M67" si="11">IFERROR(K36*L36*100,"")</f>
        <v>0</v>
      </c>
      <c r="N36" s="33"/>
      <c r="O36" s="33"/>
      <c r="P36" s="33"/>
      <c r="Q36" s="33"/>
      <c r="R36" s="33"/>
      <c r="S36" s="35">
        <f t="shared" ref="S36:S67" si="12">IFERROR(COUNTIF(N36:R36,"✔"),"")</f>
        <v>0</v>
      </c>
      <c r="T36" s="36">
        <f t="shared" ref="T36:T52" si="13">IFERROR(M36,"")</f>
        <v>0</v>
      </c>
      <c r="U36" s="36">
        <f t="shared" ref="U36:U52" si="14">IFERROR((F36-E36)*100*L36-M36,"")</f>
        <v>0</v>
      </c>
      <c r="V36" s="36">
        <f t="shared" ref="V36:V52" si="15">IFERROR(E36+K36,"")</f>
        <v>0</v>
      </c>
      <c r="W36" s="37" t="str">
        <f t="shared" si="9"/>
        <v/>
      </c>
      <c r="X36" s="33"/>
      <c r="Y36" s="33"/>
      <c r="Z36" s="34">
        <f t="shared" ref="Z36:Z67" si="16">IFERROR((Y36-K36)*100*L36,"")</f>
        <v>0</v>
      </c>
      <c r="AA36" s="38" t="str">
        <f t="shared" ref="AA36:AA67" si="17">IFERROR(IF(Z36="","OPEN",IF(Z36&gt;0,"WIN","LOSS")),"")</f>
        <v>LOSS</v>
      </c>
      <c r="AB36" s="33"/>
      <c r="AC36" s="33"/>
    </row>
    <row r="37" spans="1:29" ht="19.5" customHeight="1" x14ac:dyDescent="0.3">
      <c r="A37" s="39"/>
      <c r="B37" s="39"/>
      <c r="C37" s="39"/>
      <c r="D37" s="39"/>
      <c r="E37" s="39"/>
      <c r="F37" s="39"/>
      <c r="G37" s="39"/>
      <c r="H37" s="39"/>
      <c r="I37" s="39"/>
      <c r="J37" s="39"/>
      <c r="K37" s="29">
        <f t="shared" si="10"/>
        <v>0</v>
      </c>
      <c r="L37" s="39"/>
      <c r="M37" s="29">
        <f t="shared" si="11"/>
        <v>0</v>
      </c>
      <c r="N37" s="39"/>
      <c r="O37" s="39"/>
      <c r="P37" s="39"/>
      <c r="Q37" s="39"/>
      <c r="R37" s="39"/>
      <c r="S37" s="30">
        <f t="shared" si="12"/>
        <v>0</v>
      </c>
      <c r="T37" s="31">
        <f t="shared" si="13"/>
        <v>0</v>
      </c>
      <c r="U37" s="31">
        <f t="shared" si="14"/>
        <v>0</v>
      </c>
      <c r="V37" s="31">
        <f t="shared" si="15"/>
        <v>0</v>
      </c>
      <c r="W37" s="32" t="str">
        <f t="shared" si="9"/>
        <v/>
      </c>
      <c r="X37" s="39"/>
      <c r="Y37" s="39"/>
      <c r="Z37" s="29">
        <f t="shared" si="16"/>
        <v>0</v>
      </c>
      <c r="AA37" s="28" t="str">
        <f t="shared" si="17"/>
        <v>LOSS</v>
      </c>
      <c r="AB37" s="39"/>
      <c r="AC37" s="39"/>
    </row>
    <row r="38" spans="1:29" ht="19.5" customHeight="1" x14ac:dyDescent="0.3">
      <c r="A38" s="33"/>
      <c r="B38" s="33"/>
      <c r="C38" s="33"/>
      <c r="D38" s="33"/>
      <c r="E38" s="33"/>
      <c r="F38" s="33"/>
      <c r="G38" s="33"/>
      <c r="H38" s="33"/>
      <c r="I38" s="33"/>
      <c r="J38" s="33"/>
      <c r="K38" s="34">
        <f t="shared" si="10"/>
        <v>0</v>
      </c>
      <c r="L38" s="33"/>
      <c r="M38" s="34">
        <f t="shared" si="11"/>
        <v>0</v>
      </c>
      <c r="N38" s="33"/>
      <c r="O38" s="33"/>
      <c r="P38" s="33"/>
      <c r="Q38" s="33"/>
      <c r="R38" s="33"/>
      <c r="S38" s="35">
        <f t="shared" si="12"/>
        <v>0</v>
      </c>
      <c r="T38" s="36">
        <f t="shared" si="13"/>
        <v>0</v>
      </c>
      <c r="U38" s="36">
        <f t="shared" si="14"/>
        <v>0</v>
      </c>
      <c r="V38" s="36">
        <f t="shared" si="15"/>
        <v>0</v>
      </c>
      <c r="W38" s="37" t="str">
        <f t="shared" si="9"/>
        <v/>
      </c>
      <c r="X38" s="33"/>
      <c r="Y38" s="33"/>
      <c r="Z38" s="34">
        <f t="shared" si="16"/>
        <v>0</v>
      </c>
      <c r="AA38" s="38" t="str">
        <f t="shared" si="17"/>
        <v>LOSS</v>
      </c>
      <c r="AB38" s="33"/>
      <c r="AC38" s="33"/>
    </row>
    <row r="39" spans="1:29" ht="19.5" customHeight="1" x14ac:dyDescent="0.3">
      <c r="A39" s="39"/>
      <c r="B39" s="39"/>
      <c r="C39" s="39"/>
      <c r="D39" s="39"/>
      <c r="E39" s="39"/>
      <c r="F39" s="39"/>
      <c r="G39" s="39"/>
      <c r="H39" s="39"/>
      <c r="I39" s="39"/>
      <c r="J39" s="39"/>
      <c r="K39" s="29">
        <f t="shared" si="10"/>
        <v>0</v>
      </c>
      <c r="L39" s="39"/>
      <c r="M39" s="29">
        <f t="shared" si="11"/>
        <v>0</v>
      </c>
      <c r="N39" s="39"/>
      <c r="O39" s="39"/>
      <c r="P39" s="39"/>
      <c r="Q39" s="39"/>
      <c r="R39" s="39"/>
      <c r="S39" s="30">
        <f t="shared" si="12"/>
        <v>0</v>
      </c>
      <c r="T39" s="31">
        <f t="shared" si="13"/>
        <v>0</v>
      </c>
      <c r="U39" s="31">
        <f t="shared" si="14"/>
        <v>0</v>
      </c>
      <c r="V39" s="31">
        <f t="shared" si="15"/>
        <v>0</v>
      </c>
      <c r="W39" s="32" t="str">
        <f t="shared" si="9"/>
        <v/>
      </c>
      <c r="X39" s="39"/>
      <c r="Y39" s="39"/>
      <c r="Z39" s="29">
        <f t="shared" si="16"/>
        <v>0</v>
      </c>
      <c r="AA39" s="28" t="str">
        <f t="shared" si="17"/>
        <v>LOSS</v>
      </c>
      <c r="AB39" s="39"/>
      <c r="AC39" s="39"/>
    </row>
    <row r="40" spans="1:29" ht="19.5" customHeight="1" x14ac:dyDescent="0.3">
      <c r="A40" s="33"/>
      <c r="B40" s="33"/>
      <c r="C40" s="33"/>
      <c r="D40" s="33"/>
      <c r="E40" s="33"/>
      <c r="F40" s="33"/>
      <c r="G40" s="33"/>
      <c r="H40" s="33"/>
      <c r="I40" s="33"/>
      <c r="J40" s="33"/>
      <c r="K40" s="34">
        <f t="shared" si="10"/>
        <v>0</v>
      </c>
      <c r="L40" s="33"/>
      <c r="M40" s="34">
        <f t="shared" si="11"/>
        <v>0</v>
      </c>
      <c r="N40" s="33"/>
      <c r="O40" s="33"/>
      <c r="P40" s="33"/>
      <c r="Q40" s="33"/>
      <c r="R40" s="33"/>
      <c r="S40" s="35">
        <f t="shared" si="12"/>
        <v>0</v>
      </c>
      <c r="T40" s="36">
        <f t="shared" si="13"/>
        <v>0</v>
      </c>
      <c r="U40" s="36">
        <f t="shared" si="14"/>
        <v>0</v>
      </c>
      <c r="V40" s="36">
        <f t="shared" si="15"/>
        <v>0</v>
      </c>
      <c r="W40" s="37" t="str">
        <f t="shared" si="9"/>
        <v/>
      </c>
      <c r="X40" s="33"/>
      <c r="Y40" s="33"/>
      <c r="Z40" s="34">
        <f t="shared" si="16"/>
        <v>0</v>
      </c>
      <c r="AA40" s="38" t="str">
        <f t="shared" si="17"/>
        <v>LOSS</v>
      </c>
      <c r="AB40" s="33"/>
      <c r="AC40" s="33"/>
    </row>
    <row r="41" spans="1:29" ht="19.5" customHeight="1" x14ac:dyDescent="0.3">
      <c r="A41" s="39"/>
      <c r="B41" s="39"/>
      <c r="C41" s="39"/>
      <c r="D41" s="39"/>
      <c r="E41" s="39"/>
      <c r="F41" s="39"/>
      <c r="G41" s="39"/>
      <c r="H41" s="39"/>
      <c r="I41" s="39"/>
      <c r="J41" s="39"/>
      <c r="K41" s="29">
        <f t="shared" si="10"/>
        <v>0</v>
      </c>
      <c r="L41" s="39"/>
      <c r="M41" s="29">
        <f t="shared" si="11"/>
        <v>0</v>
      </c>
      <c r="N41" s="39"/>
      <c r="O41" s="39"/>
      <c r="P41" s="39"/>
      <c r="Q41" s="39"/>
      <c r="R41" s="39"/>
      <c r="S41" s="30">
        <f t="shared" si="12"/>
        <v>0</v>
      </c>
      <c r="T41" s="31">
        <f t="shared" si="13"/>
        <v>0</v>
      </c>
      <c r="U41" s="31">
        <f t="shared" si="14"/>
        <v>0</v>
      </c>
      <c r="V41" s="31">
        <f t="shared" si="15"/>
        <v>0</v>
      </c>
      <c r="W41" s="32" t="str">
        <f t="shared" si="9"/>
        <v/>
      </c>
      <c r="X41" s="39"/>
      <c r="Y41" s="39"/>
      <c r="Z41" s="29">
        <f t="shared" si="16"/>
        <v>0</v>
      </c>
      <c r="AA41" s="28" t="str">
        <f t="shared" si="17"/>
        <v>LOSS</v>
      </c>
      <c r="AB41" s="39"/>
      <c r="AC41" s="39"/>
    </row>
    <row r="42" spans="1:29" ht="19.5" customHeight="1" x14ac:dyDescent="0.3">
      <c r="A42" s="33"/>
      <c r="B42" s="33"/>
      <c r="C42" s="33"/>
      <c r="D42" s="33"/>
      <c r="E42" s="33"/>
      <c r="F42" s="33"/>
      <c r="G42" s="33"/>
      <c r="H42" s="33"/>
      <c r="I42" s="33"/>
      <c r="J42" s="33"/>
      <c r="K42" s="34">
        <f t="shared" si="10"/>
        <v>0</v>
      </c>
      <c r="L42" s="33"/>
      <c r="M42" s="34">
        <f t="shared" si="11"/>
        <v>0</v>
      </c>
      <c r="N42" s="33"/>
      <c r="O42" s="33"/>
      <c r="P42" s="33"/>
      <c r="Q42" s="33"/>
      <c r="R42" s="33"/>
      <c r="S42" s="35">
        <f t="shared" si="12"/>
        <v>0</v>
      </c>
      <c r="T42" s="36">
        <f t="shared" si="13"/>
        <v>0</v>
      </c>
      <c r="U42" s="36">
        <f t="shared" si="14"/>
        <v>0</v>
      </c>
      <c r="V42" s="36">
        <f t="shared" si="15"/>
        <v>0</v>
      </c>
      <c r="W42" s="37" t="str">
        <f t="shared" si="9"/>
        <v/>
      </c>
      <c r="X42" s="33"/>
      <c r="Y42" s="33"/>
      <c r="Z42" s="34">
        <f t="shared" si="16"/>
        <v>0</v>
      </c>
      <c r="AA42" s="38" t="str">
        <f t="shared" si="17"/>
        <v>LOSS</v>
      </c>
      <c r="AB42" s="33"/>
      <c r="AC42" s="33"/>
    </row>
    <row r="43" spans="1:29" ht="19.5" customHeight="1" x14ac:dyDescent="0.3">
      <c r="A43" s="39"/>
      <c r="B43" s="39"/>
      <c r="C43" s="39"/>
      <c r="D43" s="39"/>
      <c r="E43" s="39"/>
      <c r="F43" s="39"/>
      <c r="G43" s="39"/>
      <c r="H43" s="39"/>
      <c r="I43" s="39"/>
      <c r="J43" s="39"/>
      <c r="K43" s="29">
        <f t="shared" si="10"/>
        <v>0</v>
      </c>
      <c r="L43" s="39"/>
      <c r="M43" s="29">
        <f t="shared" si="11"/>
        <v>0</v>
      </c>
      <c r="N43" s="39"/>
      <c r="O43" s="39"/>
      <c r="P43" s="39"/>
      <c r="Q43" s="39"/>
      <c r="R43" s="39"/>
      <c r="S43" s="30">
        <f t="shared" si="12"/>
        <v>0</v>
      </c>
      <c r="T43" s="31">
        <f t="shared" si="13"/>
        <v>0</v>
      </c>
      <c r="U43" s="31">
        <f t="shared" si="14"/>
        <v>0</v>
      </c>
      <c r="V43" s="31">
        <f t="shared" si="15"/>
        <v>0</v>
      </c>
      <c r="W43" s="32" t="str">
        <f t="shared" si="9"/>
        <v/>
      </c>
      <c r="X43" s="39"/>
      <c r="Y43" s="39"/>
      <c r="Z43" s="29">
        <f t="shared" si="16"/>
        <v>0</v>
      </c>
      <c r="AA43" s="28" t="str">
        <f t="shared" si="17"/>
        <v>LOSS</v>
      </c>
      <c r="AB43" s="39"/>
      <c r="AC43" s="39"/>
    </row>
    <row r="44" spans="1:29" ht="19.5" customHeight="1" x14ac:dyDescent="0.3">
      <c r="A44" s="33"/>
      <c r="B44" s="33"/>
      <c r="C44" s="33"/>
      <c r="D44" s="33"/>
      <c r="E44" s="33"/>
      <c r="F44" s="33"/>
      <c r="G44" s="33"/>
      <c r="H44" s="33"/>
      <c r="I44" s="33"/>
      <c r="J44" s="33"/>
      <c r="K44" s="34">
        <f t="shared" si="10"/>
        <v>0</v>
      </c>
      <c r="L44" s="33"/>
      <c r="M44" s="34">
        <f t="shared" si="11"/>
        <v>0</v>
      </c>
      <c r="N44" s="33"/>
      <c r="O44" s="33"/>
      <c r="P44" s="33"/>
      <c r="Q44" s="33"/>
      <c r="R44" s="33"/>
      <c r="S44" s="35">
        <f t="shared" si="12"/>
        <v>0</v>
      </c>
      <c r="T44" s="36">
        <f t="shared" si="13"/>
        <v>0</v>
      </c>
      <c r="U44" s="36">
        <f t="shared" si="14"/>
        <v>0</v>
      </c>
      <c r="V44" s="36">
        <f t="shared" si="15"/>
        <v>0</v>
      </c>
      <c r="W44" s="37" t="str">
        <f t="shared" si="9"/>
        <v/>
      </c>
      <c r="X44" s="33"/>
      <c r="Y44" s="33"/>
      <c r="Z44" s="34">
        <f t="shared" si="16"/>
        <v>0</v>
      </c>
      <c r="AA44" s="38" t="str">
        <f t="shared" si="17"/>
        <v>LOSS</v>
      </c>
      <c r="AB44" s="33"/>
      <c r="AC44" s="33"/>
    </row>
    <row r="45" spans="1:29" ht="19.5" customHeight="1" x14ac:dyDescent="0.3">
      <c r="A45" s="39"/>
      <c r="B45" s="39"/>
      <c r="C45" s="39"/>
      <c r="D45" s="39"/>
      <c r="E45" s="39"/>
      <c r="F45" s="39"/>
      <c r="G45" s="39"/>
      <c r="H45" s="39"/>
      <c r="I45" s="39"/>
      <c r="J45" s="39"/>
      <c r="K45" s="29">
        <f t="shared" si="10"/>
        <v>0</v>
      </c>
      <c r="L45" s="39"/>
      <c r="M45" s="29">
        <f t="shared" si="11"/>
        <v>0</v>
      </c>
      <c r="N45" s="39"/>
      <c r="O45" s="39"/>
      <c r="P45" s="39"/>
      <c r="Q45" s="39"/>
      <c r="R45" s="39"/>
      <c r="S45" s="30">
        <f t="shared" si="12"/>
        <v>0</v>
      </c>
      <c r="T45" s="31">
        <f t="shared" si="13"/>
        <v>0</v>
      </c>
      <c r="U45" s="31">
        <f t="shared" si="14"/>
        <v>0</v>
      </c>
      <c r="V45" s="31">
        <f t="shared" si="15"/>
        <v>0</v>
      </c>
      <c r="W45" s="32" t="str">
        <f t="shared" si="9"/>
        <v/>
      </c>
      <c r="X45" s="39"/>
      <c r="Y45" s="39"/>
      <c r="Z45" s="29">
        <f t="shared" si="16"/>
        <v>0</v>
      </c>
      <c r="AA45" s="28" t="str">
        <f t="shared" si="17"/>
        <v>LOSS</v>
      </c>
      <c r="AB45" s="39"/>
      <c r="AC45" s="39"/>
    </row>
    <row r="46" spans="1:29" ht="19.5" customHeight="1" x14ac:dyDescent="0.3">
      <c r="A46" s="33"/>
      <c r="B46" s="33"/>
      <c r="C46" s="33"/>
      <c r="D46" s="33"/>
      <c r="E46" s="33"/>
      <c r="F46" s="33"/>
      <c r="G46" s="33"/>
      <c r="H46" s="33"/>
      <c r="I46" s="33"/>
      <c r="J46" s="33"/>
      <c r="K46" s="34">
        <f t="shared" si="10"/>
        <v>0</v>
      </c>
      <c r="L46" s="33"/>
      <c r="M46" s="34">
        <f t="shared" si="11"/>
        <v>0</v>
      </c>
      <c r="N46" s="33"/>
      <c r="O46" s="33"/>
      <c r="P46" s="33"/>
      <c r="Q46" s="33"/>
      <c r="R46" s="33"/>
      <c r="S46" s="35">
        <f t="shared" si="12"/>
        <v>0</v>
      </c>
      <c r="T46" s="36">
        <f t="shared" si="13"/>
        <v>0</v>
      </c>
      <c r="U46" s="36">
        <f t="shared" si="14"/>
        <v>0</v>
      </c>
      <c r="V46" s="36">
        <f t="shared" si="15"/>
        <v>0</v>
      </c>
      <c r="W46" s="37" t="str">
        <f t="shared" si="9"/>
        <v/>
      </c>
      <c r="X46" s="33"/>
      <c r="Y46" s="33"/>
      <c r="Z46" s="34">
        <f t="shared" si="16"/>
        <v>0</v>
      </c>
      <c r="AA46" s="38" t="str">
        <f t="shared" si="17"/>
        <v>LOSS</v>
      </c>
      <c r="AB46" s="33"/>
      <c r="AC46" s="33"/>
    </row>
    <row r="47" spans="1:29" ht="19.5" customHeight="1" x14ac:dyDescent="0.3">
      <c r="A47" s="39"/>
      <c r="B47" s="39"/>
      <c r="C47" s="39"/>
      <c r="D47" s="39"/>
      <c r="E47" s="39"/>
      <c r="F47" s="39"/>
      <c r="G47" s="39"/>
      <c r="H47" s="39"/>
      <c r="I47" s="39"/>
      <c r="J47" s="39"/>
      <c r="K47" s="29">
        <f t="shared" si="10"/>
        <v>0</v>
      </c>
      <c r="L47" s="39"/>
      <c r="M47" s="29">
        <f t="shared" si="11"/>
        <v>0</v>
      </c>
      <c r="N47" s="39"/>
      <c r="O47" s="39"/>
      <c r="P47" s="39"/>
      <c r="Q47" s="39"/>
      <c r="R47" s="39"/>
      <c r="S47" s="30">
        <f t="shared" si="12"/>
        <v>0</v>
      </c>
      <c r="T47" s="31">
        <f t="shared" si="13"/>
        <v>0</v>
      </c>
      <c r="U47" s="31">
        <f t="shared" si="14"/>
        <v>0</v>
      </c>
      <c r="V47" s="31">
        <f t="shared" si="15"/>
        <v>0</v>
      </c>
      <c r="W47" s="32" t="str">
        <f t="shared" si="9"/>
        <v/>
      </c>
      <c r="X47" s="39"/>
      <c r="Y47" s="39"/>
      <c r="Z47" s="29">
        <f t="shared" si="16"/>
        <v>0</v>
      </c>
      <c r="AA47" s="28" t="str">
        <f t="shared" si="17"/>
        <v>LOSS</v>
      </c>
      <c r="AB47" s="39"/>
      <c r="AC47" s="39"/>
    </row>
    <row r="48" spans="1:29" ht="19.5" customHeight="1" x14ac:dyDescent="0.3">
      <c r="A48" s="33"/>
      <c r="B48" s="33"/>
      <c r="C48" s="33"/>
      <c r="D48" s="33"/>
      <c r="E48" s="33"/>
      <c r="F48" s="33"/>
      <c r="G48" s="33"/>
      <c r="H48" s="33"/>
      <c r="I48" s="33"/>
      <c r="J48" s="33"/>
      <c r="K48" s="34">
        <f t="shared" si="10"/>
        <v>0</v>
      </c>
      <c r="L48" s="33"/>
      <c r="M48" s="34">
        <f t="shared" si="11"/>
        <v>0</v>
      </c>
      <c r="N48" s="33"/>
      <c r="O48" s="33"/>
      <c r="P48" s="33"/>
      <c r="Q48" s="33"/>
      <c r="R48" s="33"/>
      <c r="S48" s="35">
        <f t="shared" si="12"/>
        <v>0</v>
      </c>
      <c r="T48" s="36">
        <f t="shared" si="13"/>
        <v>0</v>
      </c>
      <c r="U48" s="36">
        <f t="shared" si="14"/>
        <v>0</v>
      </c>
      <c r="V48" s="36">
        <f t="shared" si="15"/>
        <v>0</v>
      </c>
      <c r="W48" s="37" t="str">
        <f t="shared" si="9"/>
        <v/>
      </c>
      <c r="X48" s="33"/>
      <c r="Y48" s="33"/>
      <c r="Z48" s="34">
        <f t="shared" si="16"/>
        <v>0</v>
      </c>
      <c r="AA48" s="38" t="str">
        <f t="shared" si="17"/>
        <v>LOSS</v>
      </c>
      <c r="AB48" s="33"/>
      <c r="AC48" s="33"/>
    </row>
    <row r="49" spans="1:29" ht="19.5" customHeight="1" x14ac:dyDescent="0.3">
      <c r="A49" s="39"/>
      <c r="B49" s="39"/>
      <c r="C49" s="39"/>
      <c r="D49" s="39"/>
      <c r="E49" s="39"/>
      <c r="F49" s="39"/>
      <c r="G49" s="39"/>
      <c r="H49" s="39"/>
      <c r="I49" s="39"/>
      <c r="J49" s="39"/>
      <c r="K49" s="29">
        <f t="shared" si="10"/>
        <v>0</v>
      </c>
      <c r="L49" s="39"/>
      <c r="M49" s="29">
        <f t="shared" si="11"/>
        <v>0</v>
      </c>
      <c r="N49" s="39"/>
      <c r="O49" s="39"/>
      <c r="P49" s="39"/>
      <c r="Q49" s="39"/>
      <c r="R49" s="39"/>
      <c r="S49" s="30">
        <f t="shared" si="12"/>
        <v>0</v>
      </c>
      <c r="T49" s="31">
        <f t="shared" si="13"/>
        <v>0</v>
      </c>
      <c r="U49" s="31">
        <f t="shared" si="14"/>
        <v>0</v>
      </c>
      <c r="V49" s="31">
        <f t="shared" si="15"/>
        <v>0</v>
      </c>
      <c r="W49" s="32" t="str">
        <f t="shared" si="9"/>
        <v/>
      </c>
      <c r="X49" s="39"/>
      <c r="Y49" s="39"/>
      <c r="Z49" s="29">
        <f t="shared" si="16"/>
        <v>0</v>
      </c>
      <c r="AA49" s="28" t="str">
        <f t="shared" si="17"/>
        <v>LOSS</v>
      </c>
      <c r="AB49" s="39"/>
      <c r="AC49" s="39"/>
    </row>
    <row r="50" spans="1:29" ht="19.5" customHeight="1" x14ac:dyDescent="0.3">
      <c r="A50" s="33"/>
      <c r="B50" s="33"/>
      <c r="C50" s="33"/>
      <c r="D50" s="33"/>
      <c r="E50" s="33"/>
      <c r="F50" s="33"/>
      <c r="G50" s="33"/>
      <c r="H50" s="33"/>
      <c r="I50" s="33"/>
      <c r="J50" s="33"/>
      <c r="K50" s="34">
        <f t="shared" si="10"/>
        <v>0</v>
      </c>
      <c r="L50" s="33"/>
      <c r="M50" s="34">
        <f t="shared" si="11"/>
        <v>0</v>
      </c>
      <c r="N50" s="33"/>
      <c r="O50" s="33"/>
      <c r="P50" s="33"/>
      <c r="Q50" s="33"/>
      <c r="R50" s="33"/>
      <c r="S50" s="35">
        <f t="shared" si="12"/>
        <v>0</v>
      </c>
      <c r="T50" s="36">
        <f t="shared" si="13"/>
        <v>0</v>
      </c>
      <c r="U50" s="36">
        <f t="shared" si="14"/>
        <v>0</v>
      </c>
      <c r="V50" s="36">
        <f t="shared" si="15"/>
        <v>0</v>
      </c>
      <c r="W50" s="37" t="str">
        <f t="shared" si="9"/>
        <v/>
      </c>
      <c r="X50" s="33"/>
      <c r="Y50" s="33"/>
      <c r="Z50" s="34">
        <f t="shared" si="16"/>
        <v>0</v>
      </c>
      <c r="AA50" s="38" t="str">
        <f t="shared" si="17"/>
        <v>LOSS</v>
      </c>
      <c r="AB50" s="33"/>
      <c r="AC50" s="33"/>
    </row>
    <row r="51" spans="1:29" ht="19.5" customHeight="1" x14ac:dyDescent="0.3">
      <c r="A51" s="39"/>
      <c r="B51" s="39"/>
      <c r="C51" s="39"/>
      <c r="D51" s="39"/>
      <c r="E51" s="39"/>
      <c r="F51" s="39"/>
      <c r="G51" s="39"/>
      <c r="H51" s="39"/>
      <c r="I51" s="39"/>
      <c r="J51" s="39"/>
      <c r="K51" s="29">
        <f t="shared" si="10"/>
        <v>0</v>
      </c>
      <c r="L51" s="39"/>
      <c r="M51" s="29">
        <f t="shared" si="11"/>
        <v>0</v>
      </c>
      <c r="N51" s="39"/>
      <c r="O51" s="39"/>
      <c r="P51" s="39"/>
      <c r="Q51" s="39"/>
      <c r="R51" s="39"/>
      <c r="S51" s="30">
        <f t="shared" si="12"/>
        <v>0</v>
      </c>
      <c r="T51" s="31">
        <f t="shared" si="13"/>
        <v>0</v>
      </c>
      <c r="U51" s="31">
        <f t="shared" si="14"/>
        <v>0</v>
      </c>
      <c r="V51" s="31">
        <f t="shared" si="15"/>
        <v>0</v>
      </c>
      <c r="W51" s="32" t="str">
        <f t="shared" si="9"/>
        <v/>
      </c>
      <c r="X51" s="39"/>
      <c r="Y51" s="39"/>
      <c r="Z51" s="29">
        <f t="shared" si="16"/>
        <v>0</v>
      </c>
      <c r="AA51" s="28" t="str">
        <f t="shared" si="17"/>
        <v>LOSS</v>
      </c>
      <c r="AB51" s="39"/>
      <c r="AC51" s="39"/>
    </row>
    <row r="52" spans="1:29" ht="19.5" customHeight="1" x14ac:dyDescent="0.3">
      <c r="A52" s="33"/>
      <c r="B52" s="33"/>
      <c r="C52" s="33"/>
      <c r="D52" s="33"/>
      <c r="E52" s="33"/>
      <c r="F52" s="33"/>
      <c r="G52" s="33"/>
      <c r="H52" s="33"/>
      <c r="I52" s="33"/>
      <c r="J52" s="33"/>
      <c r="K52" s="34">
        <f t="shared" si="10"/>
        <v>0</v>
      </c>
      <c r="L52" s="33"/>
      <c r="M52" s="34">
        <f t="shared" si="11"/>
        <v>0</v>
      </c>
      <c r="N52" s="33"/>
      <c r="O52" s="33"/>
      <c r="P52" s="33"/>
      <c r="Q52" s="33"/>
      <c r="R52" s="33"/>
      <c r="S52" s="35">
        <f t="shared" si="12"/>
        <v>0</v>
      </c>
      <c r="T52" s="36">
        <f t="shared" si="13"/>
        <v>0</v>
      </c>
      <c r="U52" s="36">
        <f t="shared" si="14"/>
        <v>0</v>
      </c>
      <c r="V52" s="36">
        <f t="shared" si="15"/>
        <v>0</v>
      </c>
      <c r="W52" s="37" t="str">
        <f t="shared" si="9"/>
        <v/>
      </c>
      <c r="X52" s="33"/>
      <c r="Y52" s="33"/>
      <c r="Z52" s="34">
        <f t="shared" si="16"/>
        <v>0</v>
      </c>
      <c r="AA52" s="38" t="str">
        <f t="shared" si="17"/>
        <v>LOSS</v>
      </c>
      <c r="AB52" s="33"/>
      <c r="AC52" s="33"/>
    </row>
  </sheetData>
  <mergeCells count="1">
    <mergeCell ref="A1:AC1"/>
  </mergeCells>
  <conditionalFormatting sqref="S3:S52">
    <cfRule type="expression" dxfId="2" priority="4">
      <formula>AND(S3&lt;&gt;"",S3&lt;5)</formula>
    </cfRule>
  </conditionalFormatting>
  <conditionalFormatting sqref="AA3:AA52">
    <cfRule type="expression" dxfId="1" priority="2">
      <formula>AA3="WIN"</formula>
    </cfRule>
    <cfRule type="expression" dxfId="0" priority="3">
      <formula>AA3="LOSS"</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zoomScaleNormal="100" workbookViewId="0">
      <selection sqref="A1:E1"/>
    </sheetView>
  </sheetViews>
  <sheetFormatPr defaultColWidth="8.6640625" defaultRowHeight="14.4" x14ac:dyDescent="0.3"/>
  <cols>
    <col min="1" max="1" width="3" customWidth="1"/>
    <col min="2" max="2" width="32" customWidth="1"/>
    <col min="3" max="5" width="18" customWidth="1"/>
  </cols>
  <sheetData>
    <row r="1" spans="1:5" ht="42" customHeight="1" x14ac:dyDescent="0.3">
      <c r="A1" s="4" t="s">
        <v>79</v>
      </c>
      <c r="B1" s="4"/>
      <c r="C1" s="4"/>
      <c r="D1" s="4"/>
      <c r="E1" s="4"/>
    </row>
    <row r="2" spans="1:5" ht="3.75" customHeight="1" x14ac:dyDescent="0.3">
      <c r="A2" s="12"/>
      <c r="B2" s="12"/>
      <c r="C2" s="12"/>
      <c r="D2" s="12"/>
      <c r="E2" s="12"/>
    </row>
    <row r="4" spans="1:5" ht="24" customHeight="1" x14ac:dyDescent="0.3">
      <c r="A4" s="11" t="s">
        <v>80</v>
      </c>
      <c r="B4" s="11"/>
      <c r="C4" s="11"/>
      <c r="D4" s="11"/>
      <c r="E4" s="11"/>
    </row>
    <row r="5" spans="1:5" ht="24" customHeight="1" x14ac:dyDescent="0.3">
      <c r="B5" s="40" t="s">
        <v>81</v>
      </c>
      <c r="C5" s="41">
        <f>COUNTA('📓 Trade Journal'!B3:B52)</f>
        <v>1</v>
      </c>
    </row>
    <row r="6" spans="1:5" ht="24" customHeight="1" x14ac:dyDescent="0.3">
      <c r="B6" s="40" t="s">
        <v>82</v>
      </c>
      <c r="C6" s="41">
        <f>COUNTIF('📓 Trade Journal'!AA3:AA52,"WIN")+COUNTIF('📓 Trade Journal'!AA3:AA52,"LOSS")</f>
        <v>49</v>
      </c>
    </row>
    <row r="7" spans="1:5" ht="24" customHeight="1" x14ac:dyDescent="0.3">
      <c r="B7" s="40" t="s">
        <v>83</v>
      </c>
      <c r="C7" s="41">
        <f>COUNTIF('📓 Trade Journal'!AA3:AA52,"OPEN")</f>
        <v>0</v>
      </c>
    </row>
    <row r="8" spans="1:5" ht="24" customHeight="1" x14ac:dyDescent="0.3">
      <c r="B8" s="40" t="s">
        <v>84</v>
      </c>
      <c r="C8" s="41">
        <f>COUNTIF('📓 Trade Journal'!AA3:AA52,"WIN")</f>
        <v>0</v>
      </c>
    </row>
    <row r="9" spans="1:5" ht="24" customHeight="1" x14ac:dyDescent="0.3">
      <c r="B9" s="40" t="s">
        <v>85</v>
      </c>
      <c r="C9" s="41">
        <f>COUNTIF('📓 Trade Journal'!AA3:AA52,"LOSS")</f>
        <v>49</v>
      </c>
    </row>
    <row r="10" spans="1:5" ht="24" customHeight="1" x14ac:dyDescent="0.3">
      <c r="B10" s="40" t="s">
        <v>86</v>
      </c>
      <c r="C10" s="42">
        <f>IFERROR(COUNTIF('📓 Trade Journal'!AA3:AA52,"WIN")/(COUNTIF('📓 Trade Journal'!AA3:AA52,"WIN")+COUNTIF('📓 Trade Journal'!AA3:AA52,"LOSS")),0)</f>
        <v>0</v>
      </c>
    </row>
    <row r="11" spans="1:5" ht="24" customHeight="1" x14ac:dyDescent="0.3">
      <c r="B11" s="40" t="s">
        <v>87</v>
      </c>
      <c r="C11" s="43">
        <f>IFERROR(SUM('📓 Trade Journal'!Z3:Z52),0)</f>
        <v>0</v>
      </c>
    </row>
    <row r="12" spans="1:5" ht="24" customHeight="1" x14ac:dyDescent="0.3">
      <c r="B12" s="40" t="s">
        <v>88</v>
      </c>
      <c r="C12" s="43">
        <f>IFERROR(SUM('📓 Trade Journal'!Z3:Z52)/COUNTA('📓 Trade Journal'!Z3:Z52),0)</f>
        <v>0</v>
      </c>
    </row>
    <row r="13" spans="1:5" ht="24" customHeight="1" x14ac:dyDescent="0.3">
      <c r="B13" s="40" t="s">
        <v>89</v>
      </c>
      <c r="C13" s="43">
        <f>IFERROR(SUM('📓 Trade Journal'!M3:M52),0)</f>
        <v>545</v>
      </c>
    </row>
    <row r="14" spans="1:5" ht="24" customHeight="1" x14ac:dyDescent="0.3">
      <c r="B14" s="40" t="s">
        <v>90</v>
      </c>
      <c r="C14" s="43">
        <f>IFERROR(AVERAGE('📓 Trade Journal'!K3:K52),0)</f>
        <v>0.109</v>
      </c>
    </row>
    <row r="15" spans="1:5" ht="24" customHeight="1" x14ac:dyDescent="0.3">
      <c r="B15" s="40" t="s">
        <v>91</v>
      </c>
      <c r="C15" s="42">
        <f>IFERROR(AVERAGE('📓 Trade Journal'!W3:W52),0)</f>
        <v>1.7522935779816513</v>
      </c>
    </row>
    <row r="16" spans="1:5" ht="24" customHeight="1" x14ac:dyDescent="0.3">
      <c r="B16" s="40" t="s">
        <v>92</v>
      </c>
      <c r="C16" s="42">
        <f>IFERROR(COUNTIF('📓 Trade Journal'!S3:S52,5)/COUNTA('📓 Trade Journal'!S3:S52),0)</f>
        <v>0.02</v>
      </c>
    </row>
    <row r="18" spans="1:5" ht="24" customHeight="1" x14ac:dyDescent="0.3">
      <c r="A18" s="11" t="s">
        <v>93</v>
      </c>
      <c r="B18" s="11"/>
      <c r="C18" s="11"/>
      <c r="D18" s="11"/>
      <c r="E18" s="11"/>
    </row>
    <row r="19" spans="1:5" ht="21.75" customHeight="1" x14ac:dyDescent="0.3">
      <c r="B19" s="44" t="s">
        <v>94</v>
      </c>
      <c r="C19" s="45" t="s">
        <v>95</v>
      </c>
      <c r="D19" s="46" t="s">
        <v>96</v>
      </c>
    </row>
    <row r="20" spans="1:5" ht="21.75" customHeight="1" x14ac:dyDescent="0.3">
      <c r="B20" s="47" t="s">
        <v>97</v>
      </c>
      <c r="C20" s="48">
        <f>COUNTIF('📓 Trade Journal'!AA3:AA52,"WIN")</f>
        <v>0</v>
      </c>
      <c r="D20" s="49">
        <f>COUNTIF('📓 Trade Journal'!AA3:AA52,"LOSS")</f>
        <v>49</v>
      </c>
    </row>
    <row r="21" spans="1:5" ht="21.75" customHeight="1" x14ac:dyDescent="0.3">
      <c r="B21" s="50" t="s">
        <v>98</v>
      </c>
      <c r="C21" s="51">
        <f>SUMIF('📓 Trade Journal'!AA3:AA52,"WIN",'📓 Trade Journal'!Z3:Z52)</f>
        <v>0</v>
      </c>
      <c r="D21" s="52">
        <f>SUMIF('📓 Trade Journal'!AA3:AA52,"LOSS",'📓 Trade Journal'!Z3:Z52)</f>
        <v>0</v>
      </c>
    </row>
    <row r="22" spans="1:5" ht="21.75" customHeight="1" x14ac:dyDescent="0.3">
      <c r="B22" s="47" t="s">
        <v>99</v>
      </c>
      <c r="C22" s="51">
        <f>IFERROR(SUMIF('📓 Trade Journal'!AA3:AA52,"WIN",'📓 Trade Journal'!Z3:Z52)/COUNTIF('📓 Trade Journal'!AA3:AA52,"WIN"),0)</f>
        <v>0</v>
      </c>
      <c r="D22" s="52">
        <f>IFERROR(SUMIF('📓 Trade Journal'!AA3:AA52,"LOSS",'📓 Trade Journal'!Z3:Z52)/COUNTIF('📓 Trade Journal'!AA3:AA52,"LOSS"),0)</f>
        <v>0</v>
      </c>
    </row>
    <row r="23" spans="1:5" ht="21.75" customHeight="1" x14ac:dyDescent="0.3">
      <c r="B23" s="50" t="s">
        <v>100</v>
      </c>
      <c r="C23" s="53">
        <f>IFERROR(AVERAGEIF('📓 Trade Journal'!AA3:AA52,"WIN",'📓 Trade Journal'!W3:W52),0)</f>
        <v>0</v>
      </c>
      <c r="D23" s="54">
        <f>IFERROR(AVERAGEIF('📓 Trade Journal'!AA3:AA52,"LOSS",'📓 Trade Journal'!W3:W52),0)</f>
        <v>0</v>
      </c>
    </row>
  </sheetData>
  <mergeCells count="4">
    <mergeCell ref="A1:E1"/>
    <mergeCell ref="A2:E2"/>
    <mergeCell ref="A4:E4"/>
    <mergeCell ref="A18:E1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1"/>
  <sheetViews>
    <sheetView showGridLines="0" zoomScaleNormal="100" workbookViewId="0">
      <selection sqref="A1:E1"/>
    </sheetView>
  </sheetViews>
  <sheetFormatPr defaultColWidth="8.6640625" defaultRowHeight="14.4" x14ac:dyDescent="0.3"/>
  <cols>
    <col min="1" max="1" width="4" customWidth="1"/>
    <col min="2" max="2" width="6" customWidth="1"/>
    <col min="3" max="3" width="22" customWidth="1"/>
    <col min="4" max="4" width="45" customWidth="1"/>
    <col min="5" max="5" width="35" customWidth="1"/>
  </cols>
  <sheetData>
    <row r="1" spans="1:5" ht="42" customHeight="1" x14ac:dyDescent="0.3">
      <c r="A1" s="4" t="s">
        <v>101</v>
      </c>
      <c r="B1" s="4"/>
      <c r="C1" s="4"/>
      <c r="D1" s="4"/>
      <c r="E1" s="4"/>
    </row>
    <row r="2" spans="1:5" ht="3.75" customHeight="1" x14ac:dyDescent="0.3">
      <c r="A2" s="12"/>
      <c r="B2" s="12"/>
      <c r="C2" s="12"/>
      <c r="D2" s="12"/>
      <c r="E2" s="12"/>
    </row>
    <row r="4" spans="1:5" ht="24" customHeight="1" x14ac:dyDescent="0.3">
      <c r="A4" s="11" t="s">
        <v>102</v>
      </c>
      <c r="B4" s="11"/>
      <c r="C4" s="11"/>
      <c r="D4" s="11"/>
      <c r="E4" s="11"/>
    </row>
    <row r="5" spans="1:5" ht="18" customHeight="1" x14ac:dyDescent="0.3">
      <c r="B5" s="3" t="s">
        <v>25</v>
      </c>
      <c r="C5" s="2" t="s">
        <v>103</v>
      </c>
      <c r="D5" s="1" t="s">
        <v>104</v>
      </c>
      <c r="E5" s="66" t="s">
        <v>105</v>
      </c>
    </row>
    <row r="6" spans="1:5" ht="18" customHeight="1" x14ac:dyDescent="0.3">
      <c r="B6" s="3"/>
      <c r="C6" s="2"/>
      <c r="D6" s="2"/>
      <c r="E6" s="2"/>
    </row>
    <row r="7" spans="1:5" ht="18" customHeight="1" x14ac:dyDescent="0.3">
      <c r="B7" s="3"/>
      <c r="C7" s="2"/>
      <c r="D7" s="2"/>
      <c r="E7" s="2"/>
    </row>
    <row r="8" spans="1:5" ht="18" customHeight="1" x14ac:dyDescent="0.3">
      <c r="B8" s="3"/>
      <c r="C8" s="2"/>
      <c r="D8" s="2"/>
      <c r="E8" s="2"/>
    </row>
    <row r="9" spans="1:5" ht="18" customHeight="1" x14ac:dyDescent="0.3">
      <c r="B9" s="3" t="s">
        <v>27</v>
      </c>
      <c r="C9" s="2" t="s">
        <v>106</v>
      </c>
      <c r="D9" s="1" t="s">
        <v>107</v>
      </c>
      <c r="E9" s="66" t="s">
        <v>108</v>
      </c>
    </row>
    <row r="10" spans="1:5" ht="18" customHeight="1" x14ac:dyDescent="0.3">
      <c r="B10" s="3"/>
      <c r="C10" s="2"/>
      <c r="D10" s="2"/>
      <c r="E10" s="2"/>
    </row>
    <row r="11" spans="1:5" ht="18" customHeight="1" x14ac:dyDescent="0.3">
      <c r="B11" s="3"/>
      <c r="C11" s="2"/>
      <c r="D11" s="2"/>
      <c r="E11" s="2"/>
    </row>
    <row r="12" spans="1:5" ht="18" customHeight="1" x14ac:dyDescent="0.3">
      <c r="B12" s="3"/>
      <c r="C12" s="2"/>
      <c r="D12" s="2"/>
      <c r="E12" s="2"/>
    </row>
    <row r="13" spans="1:5" ht="18" customHeight="1" x14ac:dyDescent="0.3">
      <c r="B13" s="3" t="s">
        <v>29</v>
      </c>
      <c r="C13" s="2" t="s">
        <v>109</v>
      </c>
      <c r="D13" s="1" t="s">
        <v>110</v>
      </c>
      <c r="E13" s="66" t="s">
        <v>111</v>
      </c>
    </row>
    <row r="14" spans="1:5" ht="18" customHeight="1" x14ac:dyDescent="0.3">
      <c r="B14" s="3"/>
      <c r="C14" s="2"/>
      <c r="D14" s="2"/>
      <c r="E14" s="2"/>
    </row>
    <row r="15" spans="1:5" ht="18" customHeight="1" x14ac:dyDescent="0.3">
      <c r="B15" s="3"/>
      <c r="C15" s="2"/>
      <c r="D15" s="2"/>
      <c r="E15" s="2"/>
    </row>
    <row r="16" spans="1:5" ht="18" customHeight="1" x14ac:dyDescent="0.3">
      <c r="B16" s="3"/>
      <c r="C16" s="2"/>
      <c r="D16" s="2"/>
      <c r="E16" s="2"/>
    </row>
    <row r="17" spans="1:5" ht="18" customHeight="1" x14ac:dyDescent="0.3">
      <c r="B17" s="3" t="s">
        <v>31</v>
      </c>
      <c r="C17" s="2" t="s">
        <v>112</v>
      </c>
      <c r="D17" s="1" t="s">
        <v>113</v>
      </c>
      <c r="E17" s="66" t="s">
        <v>114</v>
      </c>
    </row>
    <row r="18" spans="1:5" ht="18" customHeight="1" x14ac:dyDescent="0.3">
      <c r="B18" s="3"/>
      <c r="C18" s="2"/>
      <c r="D18" s="2"/>
      <c r="E18" s="2"/>
    </row>
    <row r="19" spans="1:5" ht="18" customHeight="1" x14ac:dyDescent="0.3">
      <c r="B19" s="3"/>
      <c r="C19" s="2"/>
      <c r="D19" s="2"/>
      <c r="E19" s="2"/>
    </row>
    <row r="20" spans="1:5" ht="18" customHeight="1" x14ac:dyDescent="0.3">
      <c r="B20" s="3"/>
      <c r="C20" s="2"/>
      <c r="D20" s="2"/>
      <c r="E20" s="2"/>
    </row>
    <row r="21" spans="1:5" ht="18" customHeight="1" x14ac:dyDescent="0.3">
      <c r="B21" s="3" t="s">
        <v>33</v>
      </c>
      <c r="C21" s="2" t="s">
        <v>115</v>
      </c>
      <c r="D21" s="1" t="s">
        <v>116</v>
      </c>
      <c r="E21" s="66" t="s">
        <v>117</v>
      </c>
    </row>
    <row r="22" spans="1:5" ht="18" customHeight="1" x14ac:dyDescent="0.3">
      <c r="B22" s="3"/>
      <c r="C22" s="2"/>
      <c r="D22" s="2"/>
      <c r="E22" s="2"/>
    </row>
    <row r="23" spans="1:5" ht="18" customHeight="1" x14ac:dyDescent="0.3">
      <c r="B23" s="3"/>
      <c r="C23" s="2"/>
      <c r="D23" s="2"/>
      <c r="E23" s="2"/>
    </row>
    <row r="24" spans="1:5" ht="18" customHeight="1" x14ac:dyDescent="0.3">
      <c r="B24" s="3"/>
      <c r="C24" s="2"/>
      <c r="D24" s="2"/>
      <c r="E24" s="2"/>
    </row>
    <row r="30" spans="1:5" ht="24" customHeight="1" x14ac:dyDescent="0.3">
      <c r="A30" s="11" t="s">
        <v>118</v>
      </c>
      <c r="B30" s="11"/>
      <c r="C30" s="11"/>
      <c r="D30" s="11"/>
      <c r="E30" s="11"/>
    </row>
    <row r="31" spans="1:5" ht="21.75" customHeight="1" x14ac:dyDescent="0.3">
      <c r="B31" s="55" t="s">
        <v>119</v>
      </c>
      <c r="C31" s="55" t="s">
        <v>120</v>
      </c>
      <c r="D31" s="55" t="s">
        <v>121</v>
      </c>
      <c r="E31" s="55" t="s">
        <v>122</v>
      </c>
    </row>
    <row r="32" spans="1:5" ht="19.5" customHeight="1" x14ac:dyDescent="0.3">
      <c r="B32" s="56" t="s">
        <v>123</v>
      </c>
      <c r="C32" s="57" t="s">
        <v>124</v>
      </c>
      <c r="D32" s="57" t="s">
        <v>125</v>
      </c>
      <c r="E32" s="57" t="s">
        <v>126</v>
      </c>
    </row>
    <row r="33" spans="1:5" ht="19.5" customHeight="1" x14ac:dyDescent="0.3">
      <c r="B33" s="56" t="s">
        <v>123</v>
      </c>
      <c r="C33" s="57" t="s">
        <v>127</v>
      </c>
      <c r="D33" s="57" t="s">
        <v>128</v>
      </c>
      <c r="E33" s="57" t="s">
        <v>129</v>
      </c>
    </row>
    <row r="34" spans="1:5" ht="19.5" customHeight="1" x14ac:dyDescent="0.3">
      <c r="B34" s="56" t="s">
        <v>123</v>
      </c>
      <c r="C34" s="57" t="s">
        <v>130</v>
      </c>
      <c r="D34" s="57" t="s">
        <v>131</v>
      </c>
      <c r="E34" s="57" t="s">
        <v>132</v>
      </c>
    </row>
    <row r="35" spans="1:5" ht="19.5" customHeight="1" x14ac:dyDescent="0.3">
      <c r="B35" s="56" t="s">
        <v>123</v>
      </c>
      <c r="C35" s="57" t="s">
        <v>133</v>
      </c>
      <c r="D35" s="57" t="s">
        <v>134</v>
      </c>
      <c r="E35" s="57" t="s">
        <v>135</v>
      </c>
    </row>
    <row r="36" spans="1:5" ht="19.5" customHeight="1" x14ac:dyDescent="0.3">
      <c r="B36" s="56" t="s">
        <v>123</v>
      </c>
      <c r="C36" s="57" t="s">
        <v>136</v>
      </c>
      <c r="D36" s="57" t="s">
        <v>137</v>
      </c>
      <c r="E36" s="57" t="s">
        <v>138</v>
      </c>
    </row>
    <row r="37" spans="1:5" ht="19.5" customHeight="1" x14ac:dyDescent="0.3">
      <c r="B37" s="58" t="s">
        <v>139</v>
      </c>
      <c r="C37" s="59" t="s">
        <v>140</v>
      </c>
      <c r="D37" s="59" t="s">
        <v>141</v>
      </c>
      <c r="E37" s="59" t="s">
        <v>142</v>
      </c>
    </row>
    <row r="38" spans="1:5" ht="19.5" customHeight="1" x14ac:dyDescent="0.3">
      <c r="B38" s="58" t="s">
        <v>139</v>
      </c>
      <c r="C38" s="59" t="s">
        <v>143</v>
      </c>
      <c r="D38" s="59" t="s">
        <v>144</v>
      </c>
      <c r="E38" s="59" t="s">
        <v>145</v>
      </c>
    </row>
    <row r="39" spans="1:5" ht="19.5" customHeight="1" x14ac:dyDescent="0.3">
      <c r="B39" s="60" t="s">
        <v>146</v>
      </c>
      <c r="C39" s="61" t="s">
        <v>147</v>
      </c>
      <c r="D39" s="61" t="s">
        <v>148</v>
      </c>
      <c r="E39" s="61" t="s">
        <v>149</v>
      </c>
    </row>
    <row r="40" spans="1:5" ht="19.5" customHeight="1" x14ac:dyDescent="0.3">
      <c r="B40" s="60" t="s">
        <v>146</v>
      </c>
      <c r="C40" s="61" t="s">
        <v>150</v>
      </c>
      <c r="D40" s="61" t="s">
        <v>151</v>
      </c>
      <c r="E40" s="61" t="s">
        <v>152</v>
      </c>
    </row>
    <row r="41" spans="1:5" ht="19.5" customHeight="1" x14ac:dyDescent="0.3">
      <c r="B41" s="60" t="s">
        <v>146</v>
      </c>
      <c r="C41" s="61" t="s">
        <v>153</v>
      </c>
      <c r="D41" s="61" t="s">
        <v>154</v>
      </c>
      <c r="E41" s="61" t="s">
        <v>155</v>
      </c>
    </row>
    <row r="42" spans="1:5" ht="19.5" customHeight="1" x14ac:dyDescent="0.3">
      <c r="B42" s="62" t="s">
        <v>156</v>
      </c>
      <c r="C42" s="63" t="s">
        <v>157</v>
      </c>
      <c r="D42" s="63" t="s">
        <v>158</v>
      </c>
      <c r="E42" s="63" t="s">
        <v>159</v>
      </c>
    </row>
    <row r="45" spans="1:5" ht="24" customHeight="1" x14ac:dyDescent="0.3">
      <c r="A45" s="11" t="s">
        <v>160</v>
      </c>
      <c r="B45" s="11"/>
      <c r="C45" s="11"/>
      <c r="D45" s="11"/>
      <c r="E45" s="11"/>
    </row>
    <row r="46" spans="1:5" ht="19.5" customHeight="1" x14ac:dyDescent="0.3">
      <c r="B46" s="44" t="s">
        <v>161</v>
      </c>
      <c r="C46" s="44" t="s">
        <v>162</v>
      </c>
      <c r="D46" s="44" t="s">
        <v>161</v>
      </c>
      <c r="E46" s="44" t="s">
        <v>162</v>
      </c>
    </row>
    <row r="47" spans="1:5" ht="19.5" customHeight="1" x14ac:dyDescent="0.3">
      <c r="B47" s="62" t="s">
        <v>163</v>
      </c>
      <c r="C47" s="63" t="s">
        <v>164</v>
      </c>
      <c r="D47" s="62" t="s">
        <v>165</v>
      </c>
      <c r="E47" s="63" t="s">
        <v>166</v>
      </c>
    </row>
    <row r="48" spans="1:5" ht="19.5" customHeight="1" x14ac:dyDescent="0.3">
      <c r="B48" s="64" t="s">
        <v>167</v>
      </c>
      <c r="C48" s="65" t="s">
        <v>168</v>
      </c>
      <c r="D48" s="64" t="s">
        <v>169</v>
      </c>
      <c r="E48" s="65" t="s">
        <v>170</v>
      </c>
    </row>
    <row r="49" spans="2:5" ht="19.5" customHeight="1" x14ac:dyDescent="0.3">
      <c r="B49" s="62" t="s">
        <v>171</v>
      </c>
      <c r="C49" s="63" t="s">
        <v>172</v>
      </c>
      <c r="D49" s="62" t="s">
        <v>173</v>
      </c>
      <c r="E49" s="63" t="s">
        <v>174</v>
      </c>
    </row>
    <row r="50" spans="2:5" ht="19.5" customHeight="1" x14ac:dyDescent="0.3">
      <c r="B50" s="64" t="s">
        <v>175</v>
      </c>
      <c r="C50" s="65" t="s">
        <v>176</v>
      </c>
      <c r="D50" s="64" t="s">
        <v>177</v>
      </c>
      <c r="E50" s="65" t="s">
        <v>178</v>
      </c>
    </row>
    <row r="51" spans="2:5" ht="19.5" customHeight="1" x14ac:dyDescent="0.3">
      <c r="B51" s="62" t="s">
        <v>179</v>
      </c>
      <c r="C51" s="63" t="s">
        <v>180</v>
      </c>
      <c r="D51" s="62" t="s">
        <v>181</v>
      </c>
      <c r="E51" s="63" t="s">
        <v>182</v>
      </c>
    </row>
  </sheetData>
  <mergeCells count="25">
    <mergeCell ref="A30:E30"/>
    <mergeCell ref="A45:E45"/>
    <mergeCell ref="B17:B20"/>
    <mergeCell ref="C17:C20"/>
    <mergeCell ref="D17:D20"/>
    <mergeCell ref="E17:E20"/>
    <mergeCell ref="B21:B24"/>
    <mergeCell ref="C21:C24"/>
    <mergeCell ref="D21:D24"/>
    <mergeCell ref="E21:E24"/>
    <mergeCell ref="B9:B12"/>
    <mergeCell ref="C9:C12"/>
    <mergeCell ref="D9:D12"/>
    <mergeCell ref="E9:E12"/>
    <mergeCell ref="B13:B16"/>
    <mergeCell ref="C13:C16"/>
    <mergeCell ref="D13:D16"/>
    <mergeCell ref="E13:E16"/>
    <mergeCell ref="A1:E1"/>
    <mergeCell ref="A2:E2"/>
    <mergeCell ref="A4:E4"/>
    <mergeCell ref="B5:B8"/>
    <mergeCell ref="C5:C8"/>
    <mergeCell ref="D5:D8"/>
    <mergeCell ref="E5:E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 Start Here</vt:lpstr>
      <vt:lpstr>📓 Trade Journal</vt:lpstr>
      <vt:lpstr>📊 Performance</vt:lpstr>
      <vt:lpstr>📚 PRICE Cheatsheet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Alwin Aw</cp:lastModifiedBy>
  <cp:revision>0</cp:revision>
  <dcterms:created xsi:type="dcterms:W3CDTF">2026-04-15T12:05:21Z</dcterms:created>
  <dcterms:modified xsi:type="dcterms:W3CDTF">2026-04-15T12:08:20Z</dcterms:modified>
  <dc:language>en-US</dc:language>
</cp:coreProperties>
</file>